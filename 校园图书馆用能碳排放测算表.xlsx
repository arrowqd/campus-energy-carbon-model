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2352f1c774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8269a1bd5e2c44af"/>
    <x:sheet xmlns:r="http://schemas.openxmlformats.org/officeDocument/2006/relationships" name="设备输入" sheetId="2" r:id="Re754f2dda08a4d5c"/>
    <x:sheet xmlns:r="http://schemas.openxmlformats.org/officeDocument/2006/relationships" name="参数设置" sheetId="3" r:id="R4c2300e9a88b4269"/>
    <x:sheet xmlns:r="http://schemas.openxmlformats.org/officeDocument/2006/relationships" name="方案测算" sheetId="4" r:id="R33b3ef0a98604494"/>
    <x:sheet xmlns:r="http://schemas.openxmlformats.org/officeDocument/2006/relationships" name="组合方案" sheetId="5" r:id="Ra464e3e80b10483d"/>
    <x:sheet xmlns:r="http://schemas.openxmlformats.org/officeDocument/2006/relationships" name="敏感性分析" sheetId="6" r:id="R0a30b752fb36479c"/>
    <x:sheet xmlns:r="http://schemas.openxmlformats.org/officeDocument/2006/relationships" name="检查" sheetId="7" r:id="R9cddfb8c5d6d4df3"/>
    <x:sheet xmlns:r="http://schemas.openxmlformats.org/officeDocument/2006/relationships" name="来源说明" sheetId="8" r:id="Rdb19b180f31e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"/>
    <x:numFmt numFmtId="202" formatCode="0.0%"/>
    <x:numFmt numFmtId="203" formatCode="#,##0"/>
    <x:numFmt numFmtId="204" formatCode="#,##0.0"/>
    <x:numFmt numFmtId="205" formatCode="#,##0.00"/>
    <x:numFmt numFmtId="206" formatCode="#,##0 &quot;kWh&quot;"/>
    <x:numFmt numFmtId="207" formatCode="#,##0 &quot;元&quot;"/>
    <x:numFmt numFmtId="208" formatCode="0.00 &quot;tCO2e&quot;"/>
  </x:numFmts>
  <x:fonts count="11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0000FF"/>
      <x:name val="Carlito"/>
    </x:font>
    <x:font>
      <x:b/>
      <x:sz val="11"/>
      <x:color rgb="FF111827"/>
      <x:name val="Carlito"/>
    </x:font>
    <x:font>
      <x:sz val="11"/>
      <x:color rgb="FF008000"/>
      <x:name val="Carlito"/>
    </x:font>
    <x:font>
      <x:b/>
      <x:sz val="11"/>
      <x:name val="Carlito"/>
    </x:font>
    <x:font>
      <x:b/>
      <x:sz val="11"/>
      <x:color rgb="FF64748B"/>
      <x:name val="Carlito"/>
    </x:font>
    <x:font>
      <x:b/>
      <x:sz val="18"/>
      <x:color rgb="FF17324D"/>
      <x:name val="Carlito"/>
    </x:font>
    <x:font>
      <x:b/>
      <x:sz val="11"/>
      <x:color rgb="FF15803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D6"/>
      </x:patternFill>
    </x:fill>
    <x:fill>
      <x:patternFill patternType="solid">
        <x:fgColor rgb="FFEAF2FF"/>
      </x:patternFill>
    </x:fill>
    <x:fill>
      <x:patternFill patternType="solid">
        <x:fgColor rgb="FFEAF7EE"/>
      </x:patternFill>
    </x:fill>
    <x:fill>
      <x:patternFill patternType="solid">
        <x:fgColor rgb="FFF3F4F6"/>
      </x:patternFill>
    </x:fill>
  </x:fills>
  <x:borders count="25">
    <x:border/>
    <x:border>
      <x:left style="thin">
        <x:color rgb="FFD5DCE5"/>
      </x:left>
      <x:right style="thin">
        <x:color rgb="FFD5DCE5"/>
      </x:right>
      <x:top style="thin">
        <x:color rgb="FFD5DCE5"/>
      </x:top>
      <x:bottom style="thin">
        <x:color rgb="FFD5DCE5"/>
      </x:bottom>
    </x:border>
    <x:border>
      <x:bottom style="thin">
        <x:color rgb="FFD5DCE5"/>
      </x:bottom>
    </x:border>
    <x:border>
      <x:top style="thin">
        <x:color rgb="FFD5DCE5"/>
      </x:top>
      <x:bottom style="thin">
        <x:color rgb="FFD5DCE5"/>
      </x:bottom>
    </x:border>
    <x:border>
      <x:left style="thin">
        <x:color rgb="FFE8D58A"/>
      </x:left>
      <x:top style="thin">
        <x:color rgb="FFE8D58A"/>
      </x:top>
    </x:border>
    <x:border>
      <x:top style="thin">
        <x:color rgb="FFE8D58A"/>
      </x:top>
    </x:border>
    <x:border>
      <x:right style="thin">
        <x:color rgb="FFE8D58A"/>
      </x:right>
      <x:top style="thin">
        <x:color rgb="FFE8D58A"/>
      </x:top>
    </x:border>
    <x:border>
      <x:left style="thin">
        <x:color rgb="FFE8D58A"/>
      </x:left>
      <x:bottom style="thin">
        <x:color rgb="FFE8D58A"/>
      </x:bottom>
    </x:border>
    <x:border>
      <x:bottom style="thin">
        <x:color rgb="FFE8D58A"/>
      </x:bottom>
    </x:border>
    <x:border>
      <x:right style="thin">
        <x:color rgb="FFE8D58A"/>
      </x:right>
      <x:bottom style="thin">
        <x:color rgb="FFE8D58A"/>
      </x:bottom>
    </x:border>
    <x:border>
      <x:top style="thin">
        <x:color rgb="FFD5DCE5"/>
      </x:top>
      <x:bottom style="double">
        <x:color rgb="FF17324D"/>
      </x:bottom>
    </x:border>
    <x:border>
      <x:left style="medium">
        <x:color rgb="FF15803D"/>
      </x:left>
      <x:top style="medium">
        <x:color rgb="FF15803D"/>
      </x:top>
      <x:bottom style="medium">
        <x:color rgb="FF15803D"/>
      </x:bottom>
    </x:border>
    <x:border>
      <x:top style="medium">
        <x:color rgb="FF15803D"/>
      </x:top>
      <x:bottom style="medium">
        <x:color rgb="FF15803D"/>
      </x:bottom>
    </x:border>
    <x:border>
      <x:right style="medium">
        <x:color rgb="FF15803D"/>
      </x:right>
      <x:top style="medium">
        <x:color rgb="FF15803D"/>
      </x:top>
      <x:bottom style="medium">
        <x:color rgb="FF15803D"/>
      </x:bottom>
    </x:border>
    <x:border>
      <x:left style="thin">
        <x:color rgb="FFD5DCE5"/>
      </x:left>
      <x:top style="thin">
        <x:color rgb="FFD5DCE5"/>
      </x:top>
    </x:border>
    <x:border>
      <x:top style="thin">
        <x:color rgb="FFD5DCE5"/>
      </x:top>
    </x:border>
    <x:border>
      <x:right style="thin">
        <x:color rgb="FFD5DCE5"/>
      </x:right>
      <x:top style="thin">
        <x:color rgb="FFD5DCE5"/>
      </x:top>
    </x:border>
    <x:border>
      <x:left style="thin">
        <x:color rgb="FFD5DCE5"/>
      </x:left>
      <x:bottom style="thin">
        <x:color rgb="FFD5DCE5"/>
      </x:bottom>
    </x:border>
    <x:border>
      <x:right style="thin">
        <x:color rgb="FFD5DCE5"/>
      </x:right>
      <x:bottom style="thin">
        <x:color rgb="FFD5DCE5"/>
      </x:bottom>
    </x:border>
    <x:border>
      <x:left style="thin">
        <x:color rgb="FFA7D7B5"/>
      </x:left>
      <x:top style="thin">
        <x:color rgb="FFA7D7B5"/>
      </x:top>
    </x:border>
    <x:border>
      <x:top style="thin">
        <x:color rgb="FFA7D7B5"/>
      </x:top>
    </x:border>
    <x:border>
      <x:right style="thin">
        <x:color rgb="FFA7D7B5"/>
      </x:right>
      <x:top style="thin">
        <x:color rgb="FFA7D7B5"/>
      </x:top>
    </x:border>
    <x:border>
      <x:left style="thin">
        <x:color rgb="FFA7D7B5"/>
      </x:left>
      <x:bottom style="thin">
        <x:color rgb="FFA7D7B5"/>
      </x:bottom>
    </x:border>
    <x:border>
      <x:bottom style="thin">
        <x:color rgb="FFA7D7B5"/>
      </x:bottom>
    </x:border>
    <x:border>
      <x:right style="thin">
        <x:color rgb="FFA7D7B5"/>
      </x:right>
      <x:bottom style="thin">
        <x:color rgb="FFA7D7B5"/>
      </x:bottom>
    </x:border>
  </x:borders>
  <x:cellStyleXfs count="1">
    <x:xf numFmtId="0" fontId="0" fillId="0" borderId="0"/>
  </x:cellStyleXfs>
  <x:cellXfs count="1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3" fontId="5" fillId="4" borderId="10" xfId="0" applyNumberFormat="1" applyFont="1" applyFill="1" applyBorder="1" applyAlignment="1">
      <x:alignment vertical="center"/>
    </x:xf>
    <x:xf numFmtId="204" fontId="3" fillId="0" borderId="2" xfId="0" applyNumberFormat="1" applyFont="1" applyFill="1" applyBorder="1" applyAlignment="1">
      <x:alignment vertical="center"/>
    </x:xf>
    <x:xf numFmtId="204" fontId="3" fillId="0" borderId="3" xfId="0" applyNumberFormat="1" applyFont="1" applyFill="1" applyBorder="1" applyAlignment="1">
      <x:alignment vertical="center"/>
    </x:xf>
    <x:xf numFmtId="204" fontId="5" fillId="4" borderId="10" xfId="0" applyNumberFormat="1" applyFont="1" applyFill="1" applyBorder="1" applyAlignment="1">
      <x:alignment vertical="center"/>
    </x:xf>
    <x:xf numFmtId="205" fontId="6" fillId="0" borderId="2" xfId="0" applyNumberFormat="1" applyFont="1" applyFill="1" applyBorder="1" applyAlignment="1">
      <x:alignment vertical="center"/>
    </x:xf>
    <x:xf numFmtId="205" fontId="6" fillId="0" borderId="3" xfId="0" applyNumberFormat="1" applyFont="1" applyFill="1" applyBorder="1" applyAlignment="1">
      <x:alignment vertical="center"/>
    </x:xf>
    <x:xf numFmtId="205" fontId="5" fillId="4" borderId="10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4" fontId="6" fillId="0" borderId="3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3" fontId="6" fillId="0" borderId="3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0" fontId="3" fillId="5" borderId="3" xfId="0" applyNumberFormat="1" applyFont="1" applyFill="1" applyBorder="1" applyAlignment="1">
      <x:alignment vertical="center"/>
    </x:xf>
    <x:xf numFmtId="205" fontId="6" fillId="5" borderId="3" xfId="0" applyNumberFormat="1" applyFont="1" applyFill="1" applyBorder="1" applyAlignment="1">
      <x:alignment vertical="center"/>
    </x:xf>
    <x:xf numFmtId="200" fontId="6" fillId="5" borderId="3" xfId="0" applyNumberFormat="1" applyFont="1" applyFill="1" applyBorder="1" applyAlignment="1">
      <x:alignment vertical="center"/>
    </x:xf>
    <x:xf numFmtId="203" fontId="6" fillId="5" borderId="3" xfId="0" applyNumberFormat="1" applyFont="1" applyFill="1" applyBorder="1" applyAlignment="1">
      <x:alignment vertical="center"/>
    </x:xf>
    <x:xf numFmtId="202" fontId="6" fillId="5" borderId="3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204" fontId="6" fillId="5" borderId="3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2" xfId="0" applyNumberFormat="1" applyFont="1" applyFill="1" applyBorder="1"/>
    <x:xf numFmtId="0" fontId="9" fillId="4" borderId="18" xfId="0" applyNumberFormat="1" applyFont="1" applyFill="1" applyBorder="1"/>
    <x:xf numFmtId="206" fontId="9" fillId="4" borderId="14" xfId="0" applyNumberFormat="1" applyFont="1" applyFill="1" applyBorder="1"/>
    <x:xf numFmtId="206" fontId="9" fillId="4" borderId="15" xfId="0" applyNumberFormat="1" applyFont="1" applyFill="1" applyBorder="1"/>
    <x:xf numFmtId="206" fontId="9" fillId="4" borderId="16" xfId="0" applyNumberFormat="1" applyFont="1" applyFill="1" applyBorder="1"/>
    <x:xf numFmtId="206" fontId="9" fillId="4" borderId="17" xfId="0" applyNumberFormat="1" applyFont="1" applyFill="1" applyBorder="1"/>
    <x:xf numFmtId="206" fontId="9" fillId="4" borderId="2" xfId="0" applyNumberFormat="1" applyFont="1" applyFill="1" applyBorder="1"/>
    <x:xf numFmtId="206" fontId="9" fillId="4" borderId="18" xfId="0" applyNumberFormat="1" applyFont="1" applyFill="1" applyBorder="1"/>
    <x:xf numFmtId="206" fontId="9" fillId="4" borderId="14" xfId="0" applyNumberFormat="1" applyFont="1" applyFill="1" applyBorder="1" applyAlignment="1">
      <x:alignment horizontal="center"/>
    </x:xf>
    <x:xf numFmtId="206" fontId="9" fillId="4" borderId="15" xfId="0" applyNumberFormat="1" applyFont="1" applyFill="1" applyBorder="1" applyAlignment="1">
      <x:alignment horizontal="center"/>
    </x:xf>
    <x:xf numFmtId="206" fontId="9" fillId="4" borderId="16" xfId="0" applyNumberFormat="1" applyFont="1" applyFill="1" applyBorder="1" applyAlignment="1">
      <x:alignment horizontal="center"/>
    </x:xf>
    <x:xf numFmtId="206" fontId="9" fillId="4" borderId="17" xfId="0" applyNumberFormat="1" applyFont="1" applyFill="1" applyBorder="1" applyAlignment="1">
      <x:alignment horizontal="center"/>
    </x:xf>
    <x:xf numFmtId="206" fontId="9" fillId="4" borderId="2" xfId="0" applyNumberFormat="1" applyFont="1" applyFill="1" applyBorder="1" applyAlignment="1">
      <x:alignment horizontal="center"/>
    </x:xf>
    <x:xf numFmtId="206" fontId="9" fillId="4" borderId="18" xfId="0" applyNumberFormat="1" applyFont="1" applyFill="1" applyBorder="1" applyAlignment="1">
      <x:alignment horizontal="center"/>
    </x:xf>
    <x:xf numFmtId="206" fontId="9" fillId="4" borderId="14" xfId="0" applyNumberFormat="1" applyFont="1" applyFill="1" applyBorder="1" applyAlignment="1">
      <x:alignment horizontal="center" vertical="center"/>
    </x:xf>
    <x:xf numFmtId="206" fontId="9" fillId="4" borderId="15" xfId="0" applyNumberFormat="1" applyFont="1" applyFill="1" applyBorder="1" applyAlignment="1">
      <x:alignment horizontal="center" vertical="center"/>
    </x:xf>
    <x:xf numFmtId="206" fontId="9" fillId="4" borderId="16" xfId="0" applyNumberFormat="1" applyFont="1" applyFill="1" applyBorder="1" applyAlignment="1">
      <x:alignment horizontal="center" vertical="center"/>
    </x:xf>
    <x:xf numFmtId="206" fontId="9" fillId="4" borderId="17" xfId="0" applyNumberFormat="1" applyFont="1" applyFill="1" applyBorder="1" applyAlignment="1">
      <x:alignment horizontal="center" vertical="center"/>
    </x:xf>
    <x:xf numFmtId="206" fontId="9" fillId="4" borderId="2" xfId="0" applyNumberFormat="1" applyFont="1" applyFill="1" applyBorder="1" applyAlignment="1">
      <x:alignment horizontal="center" vertical="center"/>
    </x:xf>
    <x:xf numFmtId="206" fontId="9" fillId="4" borderId="18" xfId="0" applyNumberFormat="1" applyFont="1" applyFill="1" applyBorder="1" applyAlignment="1">
      <x:alignment horizontal="center" vertical="center"/>
    </x:xf>
    <x:xf numFmtId="207" fontId="9" fillId="4" borderId="14" xfId="0" applyNumberFormat="1" applyFont="1" applyFill="1" applyBorder="1"/>
    <x:xf numFmtId="207" fontId="9" fillId="4" borderId="15" xfId="0" applyNumberFormat="1" applyFont="1" applyFill="1" applyBorder="1"/>
    <x:xf numFmtId="207" fontId="9" fillId="4" borderId="16" xfId="0" applyNumberFormat="1" applyFont="1" applyFill="1" applyBorder="1"/>
    <x:xf numFmtId="207" fontId="9" fillId="4" borderId="17" xfId="0" applyNumberFormat="1" applyFont="1" applyFill="1" applyBorder="1"/>
    <x:xf numFmtId="207" fontId="9" fillId="4" borderId="2" xfId="0" applyNumberFormat="1" applyFont="1" applyFill="1" applyBorder="1"/>
    <x:xf numFmtId="207" fontId="9" fillId="4" borderId="18" xfId="0" applyNumberFormat="1" applyFont="1" applyFill="1" applyBorder="1"/>
    <x:xf numFmtId="207" fontId="9" fillId="4" borderId="14" xfId="0" applyNumberFormat="1" applyFont="1" applyFill="1" applyBorder="1" applyAlignment="1">
      <x:alignment horizontal="center"/>
    </x:xf>
    <x:xf numFmtId="207" fontId="9" fillId="4" borderId="15" xfId="0" applyNumberFormat="1" applyFont="1" applyFill="1" applyBorder="1" applyAlignment="1">
      <x:alignment horizontal="center"/>
    </x:xf>
    <x:xf numFmtId="207" fontId="9" fillId="4" borderId="16" xfId="0" applyNumberFormat="1" applyFont="1" applyFill="1" applyBorder="1" applyAlignment="1">
      <x:alignment horizontal="center"/>
    </x:xf>
    <x:xf numFmtId="207" fontId="9" fillId="4" borderId="17" xfId="0" applyNumberFormat="1" applyFont="1" applyFill="1" applyBorder="1" applyAlignment="1">
      <x:alignment horizontal="center"/>
    </x:xf>
    <x:xf numFmtId="207" fontId="9" fillId="4" borderId="2" xfId="0" applyNumberFormat="1" applyFont="1" applyFill="1" applyBorder="1" applyAlignment="1">
      <x:alignment horizontal="center"/>
    </x:xf>
    <x:xf numFmtId="207" fontId="9" fillId="4" borderId="18" xfId="0" applyNumberFormat="1" applyFont="1" applyFill="1" applyBorder="1" applyAlignment="1">
      <x:alignment horizontal="center"/>
    </x:xf>
    <x:xf numFmtId="207" fontId="9" fillId="4" borderId="14" xfId="0" applyNumberFormat="1" applyFont="1" applyFill="1" applyBorder="1" applyAlignment="1">
      <x:alignment horizontal="center" vertical="center"/>
    </x:xf>
    <x:xf numFmtId="207" fontId="9" fillId="4" borderId="15" xfId="0" applyNumberFormat="1" applyFont="1" applyFill="1" applyBorder="1" applyAlignment="1">
      <x:alignment horizontal="center" vertical="center"/>
    </x:xf>
    <x:xf numFmtId="207" fontId="9" fillId="4" borderId="16" xfId="0" applyNumberFormat="1" applyFont="1" applyFill="1" applyBorder="1" applyAlignment="1">
      <x:alignment horizontal="center" vertical="center"/>
    </x:xf>
    <x:xf numFmtId="207" fontId="9" fillId="4" borderId="17" xfId="0" applyNumberFormat="1" applyFont="1" applyFill="1" applyBorder="1" applyAlignment="1">
      <x:alignment horizontal="center" vertical="center"/>
    </x:xf>
    <x:xf numFmtId="207" fontId="9" fillId="4" borderId="2" xfId="0" applyNumberFormat="1" applyFont="1" applyFill="1" applyBorder="1" applyAlignment="1">
      <x:alignment horizontal="center" vertical="center"/>
    </x:xf>
    <x:xf numFmtId="207" fontId="9" fillId="4" borderId="18" xfId="0" applyNumberFormat="1" applyFont="1" applyFill="1" applyBorder="1" applyAlignment="1">
      <x:alignment horizontal="center" vertical="center"/>
    </x:xf>
    <x:xf numFmtId="208" fontId="9" fillId="4" borderId="14" xfId="0" applyNumberFormat="1" applyFont="1" applyFill="1" applyBorder="1"/>
    <x:xf numFmtId="208" fontId="9" fillId="4" borderId="15" xfId="0" applyNumberFormat="1" applyFont="1" applyFill="1" applyBorder="1"/>
    <x:xf numFmtId="208" fontId="9" fillId="4" borderId="16" xfId="0" applyNumberFormat="1" applyFont="1" applyFill="1" applyBorder="1"/>
    <x:xf numFmtId="208" fontId="9" fillId="4" borderId="17" xfId="0" applyNumberFormat="1" applyFont="1" applyFill="1" applyBorder="1"/>
    <x:xf numFmtId="208" fontId="9" fillId="4" borderId="2" xfId="0" applyNumberFormat="1" applyFont="1" applyFill="1" applyBorder="1"/>
    <x:xf numFmtId="208" fontId="9" fillId="4" borderId="18" xfId="0" applyNumberFormat="1" applyFont="1" applyFill="1" applyBorder="1"/>
    <x:xf numFmtId="208" fontId="9" fillId="4" borderId="14" xfId="0" applyNumberFormat="1" applyFont="1" applyFill="1" applyBorder="1" applyAlignment="1">
      <x:alignment horizontal="center"/>
    </x:xf>
    <x:xf numFmtId="208" fontId="9" fillId="4" borderId="15" xfId="0" applyNumberFormat="1" applyFont="1" applyFill="1" applyBorder="1" applyAlignment="1">
      <x:alignment horizontal="center"/>
    </x:xf>
    <x:xf numFmtId="208" fontId="9" fillId="4" borderId="16" xfId="0" applyNumberFormat="1" applyFont="1" applyFill="1" applyBorder="1" applyAlignment="1">
      <x:alignment horizontal="center"/>
    </x:xf>
    <x:xf numFmtId="208" fontId="9" fillId="4" borderId="17" xfId="0" applyNumberFormat="1" applyFont="1" applyFill="1" applyBorder="1" applyAlignment="1">
      <x:alignment horizontal="center"/>
    </x:xf>
    <x:xf numFmtId="208" fontId="9" fillId="4" borderId="2" xfId="0" applyNumberFormat="1" applyFont="1" applyFill="1" applyBorder="1" applyAlignment="1">
      <x:alignment horizontal="center"/>
    </x:xf>
    <x:xf numFmtId="208" fontId="9" fillId="4" borderId="18" xfId="0" applyNumberFormat="1" applyFont="1" applyFill="1" applyBorder="1" applyAlignment="1">
      <x:alignment horizontal="center"/>
    </x:xf>
    <x:xf numFmtId="208" fontId="9" fillId="4" borderId="14" xfId="0" applyNumberFormat="1" applyFont="1" applyFill="1" applyBorder="1" applyAlignment="1">
      <x:alignment horizontal="center" vertical="center"/>
    </x:xf>
    <x:xf numFmtId="208" fontId="9" fillId="4" borderId="15" xfId="0" applyNumberFormat="1" applyFont="1" applyFill="1" applyBorder="1" applyAlignment="1">
      <x:alignment horizontal="center" vertical="center"/>
    </x:xf>
    <x:xf numFmtId="208" fontId="9" fillId="4" borderId="16" xfId="0" applyNumberFormat="1" applyFont="1" applyFill="1" applyBorder="1" applyAlignment="1">
      <x:alignment horizontal="center" vertical="center"/>
    </x:xf>
    <x:xf numFmtId="208" fontId="9" fillId="4" borderId="17" xfId="0" applyNumberFormat="1" applyFont="1" applyFill="1" applyBorder="1" applyAlignment="1">
      <x:alignment horizontal="center" vertical="center"/>
    </x:xf>
    <x:xf numFmtId="208" fontId="9" fillId="4" borderId="2" xfId="0" applyNumberFormat="1" applyFont="1" applyFill="1" applyBorder="1" applyAlignment="1">
      <x:alignment horizontal="center" vertical="center"/>
    </x:xf>
    <x:xf numFmtId="208" fontId="9" fillId="4" borderId="18" xfId="0" applyNumberFormat="1" applyFont="1" applyFill="1" applyBorder="1" applyAlignment="1">
      <x:alignment horizontal="center" vertical="center"/>
    </x:xf>
    <x:xf numFmtId="202" fontId="9" fillId="4" borderId="14" xfId="0" applyNumberFormat="1" applyFont="1" applyFill="1" applyBorder="1"/>
    <x:xf numFmtId="202" fontId="9" fillId="4" borderId="15" xfId="0" applyNumberFormat="1" applyFont="1" applyFill="1" applyBorder="1"/>
    <x:xf numFmtId="202" fontId="9" fillId="4" borderId="16" xfId="0" applyNumberFormat="1" applyFont="1" applyFill="1" applyBorder="1"/>
    <x:xf numFmtId="202" fontId="9" fillId="4" borderId="17" xfId="0" applyNumberFormat="1" applyFont="1" applyFill="1" applyBorder="1"/>
    <x:xf numFmtId="202" fontId="9" fillId="4" borderId="2" xfId="0" applyNumberFormat="1" applyFont="1" applyFill="1" applyBorder="1"/>
    <x:xf numFmtId="202" fontId="9" fillId="4" borderId="18" xfId="0" applyNumberFormat="1" applyFont="1" applyFill="1" applyBorder="1"/>
    <x:xf numFmtId="202" fontId="9" fillId="4" borderId="14" xfId="0" applyNumberFormat="1" applyFont="1" applyFill="1" applyBorder="1" applyAlignment="1">
      <x:alignment horizontal="center"/>
    </x:xf>
    <x:xf numFmtId="202" fontId="9" fillId="4" borderId="15" xfId="0" applyNumberFormat="1" applyFont="1" applyFill="1" applyBorder="1" applyAlignment="1">
      <x:alignment horizontal="center"/>
    </x:xf>
    <x:xf numFmtId="202" fontId="9" fillId="4" borderId="16" xfId="0" applyNumberFormat="1" applyFont="1" applyFill="1" applyBorder="1" applyAlignment="1">
      <x:alignment horizontal="center"/>
    </x:xf>
    <x:xf numFmtId="202" fontId="9" fillId="4" borderId="17" xfId="0" applyNumberFormat="1" applyFont="1" applyFill="1" applyBorder="1" applyAlignment="1">
      <x:alignment horizontal="center"/>
    </x:xf>
    <x:xf numFmtId="202" fontId="9" fillId="4" borderId="2" xfId="0" applyNumberFormat="1" applyFont="1" applyFill="1" applyBorder="1" applyAlignment="1">
      <x:alignment horizontal="center"/>
    </x:xf>
    <x:xf numFmtId="202" fontId="9" fillId="4" borderId="18" xfId="0" applyNumberFormat="1" applyFont="1" applyFill="1" applyBorder="1" applyAlignment="1">
      <x:alignment horizontal="center"/>
    </x:xf>
    <x:xf numFmtId="202" fontId="9" fillId="4" borderId="14" xfId="0" applyNumberFormat="1" applyFont="1" applyFill="1" applyBorder="1" applyAlignment="1">
      <x:alignment horizontal="center" vertical="center"/>
    </x:xf>
    <x:xf numFmtId="202" fontId="9" fillId="4" borderId="15" xfId="0" applyNumberFormat="1" applyFont="1" applyFill="1" applyBorder="1" applyAlignment="1">
      <x:alignment horizontal="center" vertical="center"/>
    </x:xf>
    <x:xf numFmtId="202" fontId="9" fillId="4" borderId="16" xfId="0" applyNumberFormat="1" applyFont="1" applyFill="1" applyBorder="1" applyAlignment="1">
      <x:alignment horizontal="center" vertical="center"/>
    </x:xf>
    <x:xf numFmtId="202" fontId="9" fillId="4" borderId="17" xfId="0" applyNumberFormat="1" applyFont="1" applyFill="1" applyBorder="1" applyAlignment="1">
      <x:alignment horizontal="center" vertical="center"/>
    </x:xf>
    <x:xf numFmtId="202" fontId="9" fillId="4" borderId="2" xfId="0" applyNumberFormat="1" applyFont="1" applyFill="1" applyBorder="1" applyAlignment="1">
      <x:alignment horizontal="center" vertical="center"/>
    </x:xf>
    <x:xf numFmtId="202" fontId="9" fillId="4" borderId="18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19" xfId="0" applyNumberFormat="1" applyFont="1" applyFill="1" applyBorder="1"/>
    <x:xf numFmtId="0" fontId="10" fillId="5" borderId="20" xfId="0" applyNumberFormat="1" applyFont="1" applyFill="1" applyBorder="1"/>
    <x:xf numFmtId="0" fontId="10" fillId="5" borderId="21" xfId="0" applyNumberFormat="1" applyFont="1" applyFill="1" applyBorder="1"/>
    <x:xf numFmtId="0" fontId="10" fillId="5" borderId="22" xfId="0" applyNumberFormat="1" applyFont="1" applyFill="1" applyBorder="1"/>
    <x:xf numFmtId="0" fontId="10" fillId="5" borderId="23" xfId="0" applyNumberFormat="1" applyFont="1" applyFill="1" applyBorder="1"/>
    <x:xf numFmtId="0" fontId="10" fillId="5" borderId="24" xfId="0" applyNumberFormat="1" applyFont="1" applyFill="1" applyBorder="1"/>
    <x:xf numFmtId="0" fontId="10" fillId="5" borderId="19" xfId="0" applyNumberFormat="1" applyFont="1" applyFill="1" applyBorder="1" applyAlignment="1">
      <x:alignment wrapText="1"/>
    </x:xf>
    <x:xf numFmtId="0" fontId="10" fillId="5" borderId="20" xfId="0" applyNumberFormat="1" applyFont="1" applyFill="1" applyBorder="1" applyAlignment="1">
      <x:alignment wrapText="1"/>
    </x:xf>
    <x:xf numFmtId="0" fontId="10" fillId="5" borderId="21" xfId="0" applyNumberFormat="1" applyFont="1" applyFill="1" applyBorder="1" applyAlignment="1">
      <x:alignment wrapText="1"/>
    </x:xf>
    <x:xf numFmtId="0" fontId="10" fillId="5" borderId="22" xfId="0" applyNumberFormat="1" applyFont="1" applyFill="1" applyBorder="1" applyAlignment="1">
      <x:alignment wrapText="1"/>
    </x:xf>
    <x:xf numFmtId="0" fontId="10" fillId="5" borderId="23" xfId="0" applyNumberFormat="1" applyFont="1" applyFill="1" applyBorder="1" applyAlignment="1">
      <x:alignment wrapText="1"/>
    </x:xf>
    <x:xf numFmtId="0" fontId="10" fillId="5" borderId="24" xfId="0" applyNumberFormat="1" applyFont="1" applyFill="1" applyBorder="1" applyAlignment="1">
      <x:alignment wrapText="1"/>
    </x:xf>
    <x:xf numFmtId="0" fontId="10" fillId="5" borderId="19" xfId="0" applyNumberFormat="1" applyFont="1" applyFill="1" applyBorder="1" applyAlignment="1">
      <x:alignment vertical="center" wrapText="1"/>
    </x:xf>
    <x:xf numFmtId="0" fontId="10" fillId="5" borderId="20" xfId="0" applyNumberFormat="1" applyFont="1" applyFill="1" applyBorder="1" applyAlignment="1">
      <x:alignment vertical="center" wrapText="1"/>
    </x:xf>
    <x:xf numFmtId="0" fontId="10" fillId="5" borderId="21" xfId="0" applyNumberFormat="1" applyFont="1" applyFill="1" applyBorder="1" applyAlignment="1">
      <x:alignment vertical="center" wrapText="1"/>
    </x:xf>
    <x:xf numFmtId="0" fontId="10" fillId="5" borderId="22" xfId="0" applyNumberFormat="1" applyFont="1" applyFill="1" applyBorder="1" applyAlignment="1">
      <x:alignment vertical="center" wrapText="1"/>
    </x:xf>
    <x:xf numFmtId="0" fontId="10" fillId="5" borderId="23" xfId="0" applyNumberFormat="1" applyFont="1" applyFill="1" applyBorder="1" applyAlignment="1">
      <x:alignment vertical="center" wrapText="1"/>
    </x:xf>
    <x:xf numFmtId="0" fontId="10" fillId="5" borderId="24" xfId="0" applyNumberFormat="1" applyFont="1" applyFill="1" applyBorder="1" applyAlignment="1">
      <x:alignment vertical="center" wrapText="1"/>
    </x:xf>
    <x:xf numFmtId="203" fontId="3" fillId="0" borderId="2" xfId="0" applyNumberFormat="1" applyFont="1" applyFill="1" applyBorder="1" applyAlignment="1">
      <x:alignment vertical="center"/>
    </x:xf>
    <x:xf numFmtId="203" fontId="3" fillId="0" borderId="3" xfId="0" applyNumberFormat="1" applyFont="1" applyFill="1" applyBorder="1" applyAlignment="1">
      <x:alignment vertical="center"/>
    </x:xf>
    <x:xf numFmtId="205" fontId="3" fillId="0" borderId="2" xfId="0" applyNumberFormat="1" applyFont="1" applyFill="1" applyBorder="1" applyAlignment="1">
      <x:alignment vertical="center"/>
    </x:xf>
    <x:xf numFmtId="205" fontId="3" fillId="0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f5f3816da45f9" /><Relationship Type="http://schemas.openxmlformats.org/officeDocument/2006/relationships/theme" Target="/xl/theme/theme1.xml" Id="R6b4234d4238d445f" /><Relationship Type="http://schemas.openxmlformats.org/officeDocument/2006/relationships/sharedStrings" Target="/xl/sharedStrings.xml" Id="R873f32048e7d43ef" /><Relationship Type="http://schemas.openxmlformats.org/officeDocument/2006/relationships/worksheet" Target="/xl/worksheets/sheet1.xml" Id="R8269a1bd5e2c44af" /><Relationship Type="http://schemas.openxmlformats.org/officeDocument/2006/relationships/worksheet" Target="/xl/worksheets/sheet2.xml" Id="Re754f2dda08a4d5c" /><Relationship Type="http://schemas.openxmlformats.org/officeDocument/2006/relationships/worksheet" Target="/xl/worksheets/sheet3.xml" Id="R4c2300e9a88b4269" /><Relationship Type="http://schemas.openxmlformats.org/officeDocument/2006/relationships/worksheet" Target="/xl/worksheets/sheet4.xml" Id="R33b3ef0a98604494" /><Relationship Type="http://schemas.openxmlformats.org/officeDocument/2006/relationships/worksheet" Target="/xl/worksheets/sheet5.xml" Id="Ra464e3e80b10483d" /><Relationship Type="http://schemas.openxmlformats.org/officeDocument/2006/relationships/worksheet" Target="/xl/worksheets/sheet6.xml" Id="R0a30b752fb36479c" /><Relationship Type="http://schemas.openxmlformats.org/officeDocument/2006/relationships/worksheet" Target="/xl/worksheets/sheet7.xml" Id="R9cddfb8c5d6d4df3" /><Relationship Type="http://schemas.openxmlformats.org/officeDocument/2006/relationships/worksheet" Target="/xl/worksheets/sheet8.xml" Id="Rdb19b180f31e4c0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f42257b11f74f94" /><Relationship Type="http://schemas.openxmlformats.org/officeDocument/2006/relationships/chart" Target="/xl/drawings/charts/chart2.xml" Id="Rccb312b71ad44e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基准用电结构</a:t>
            </a:r>
          </a:p>
        </c:rich>
      </c:tx>
    </c:title>
    <c:plotArea>
      <c:doughnutChart>
        <c:ser>
          <c:idx val="0"/>
          <c:order val="0"/>
          <c:tx>
            <c:v>年用电量(kWh)</c:v>
          </c:tx>
          <c:cat>
            <c:strRef>
              <c:f>'概览'!$A$29:$A$32</c:f>
              <c:strCache>
                <c:ptCount val="0"/>
              </c:strCache>
            </c:strRef>
          </c:cat>
          <c:val>
            <c:numRef>
              <c:f>'概览'!$B$29:$B$32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年节省电费对比（元）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年节省电费(元)</c:v>
          </c:tx>
          <c:cat>
            <c:strRef>
              <c:f>'概览'!$D$29:$D$33</c:f>
              <c:strCache>
                <c:ptCount val="0"/>
              </c:strCache>
            </c:strRef>
          </c:cat>
          <c:val>
            <c:numRef>
              <c:f>'概览'!$E$29:$E$33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5DCE5"/>
              </a:solidFill>
              <a:prstDash val="solid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42257b11f74f94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b312b71ad44e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ebdf888801d43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4" customHeight="1">
      <x:c r="A1" s="3" t="str">
        <x:v>校园图书馆用能碳排放与节能收益概览</x:v>
      </x:c>
      <x:c r="B1" s="3" t="str">
        <x:v>校园图书馆用能碳排放与节能收益概览</x:v>
      </x:c>
      <x:c r="C1" s="3" t="str">
        <x:v>校园图书馆用能碳排放与节能收益概览</x:v>
      </x:c>
      <x:c r="D1" s="3" t="str">
        <x:v>校园图书馆用能碳排放与节能收益概览</x:v>
      </x:c>
      <x:c r="E1" s="3" t="str">
        <x:v>校园图书馆用能碳排放与节能收益概览</x:v>
      </x:c>
      <x:c r="F1" s="3" t="str">
        <x:v>校园图书馆用能碳排放与节能收益概览</x:v>
      </x:c>
      <x:c r="G1" s="3" t="str">
        <x:v>校园图书馆用能碳排放与节能收益概览</x:v>
      </x:c>
      <x:c r="H1" s="3" t="str">
        <x:v>校园图书馆用能碳排放与节能收益概览</x:v>
      </x:c>
      <x:c r="I1" s="3" t="str">
        <x:v>校园图书馆用能碳排放与节能收益概览</x:v>
      </x:c>
      <x:c r="J1" s="3" t="str">
        <x:v>校园图书馆用能碳排放与节能收益概览</x:v>
      </x:c>
      <x:c r="K1" s="3" t="str">
        <x:v>校园图书馆用能碳排放与节能收益概览</x:v>
      </x:c>
      <x:c r="L1" s="3" t="str">
        <x:v>校园图书馆用能碳排放与节能收益概览</x:v>
      </x:c>
    </x:row>
    <x:row r="2" ht="34" customHeight="1">
      <x:c r="A2" s="3" t="str">
        <x:v>校园图书馆用能碳排放与节能收益概览</x:v>
      </x:c>
      <x:c r="B2" s="3" t="str">
        <x:v>校园图书馆用能碳排放与节能收益概览</x:v>
      </x:c>
      <x:c r="C2" s="3" t="str">
        <x:v>校园图书馆用能碳排放与节能收益概览</x:v>
      </x:c>
      <x:c r="D2" s="3" t="str">
        <x:v>校园图书馆用能碳排放与节能收益概览</x:v>
      </x:c>
      <x:c r="E2" s="3" t="str">
        <x:v>校园图书馆用能碳排放与节能收益概览</x:v>
      </x:c>
      <x:c r="F2" s="3" t="str">
        <x:v>校园图书馆用能碳排放与节能收益概览</x:v>
      </x:c>
      <x:c r="G2" s="3" t="str">
        <x:v>校园图书馆用能碳排放与节能收益概览</x:v>
      </x:c>
      <x:c r="H2" s="3" t="str">
        <x:v>校园图书馆用能碳排放与节能收益概览</x:v>
      </x:c>
      <x:c r="I2" s="3" t="str">
        <x:v>校园图书馆用能碳排放与节能收益概览</x:v>
      </x:c>
      <x:c r="J2" s="3" t="str">
        <x:v>校园图书馆用能碳排放与节能收益概览</x:v>
      </x:c>
      <x:c r="K2" s="3" t="str">
        <x:v>校园图书馆用能碳排放与节能收益概览</x:v>
      </x:c>
      <x:c r="L2" s="3" t="str">
        <x:v>校园图书馆用能碳排放与节能收益概览</x:v>
      </x:c>
    </x:row>
    <x:row r="4">
      <x:c r="A4" s="71" t="str">
        <x:v>基准年用电量</x:v>
      </x:c>
      <x:c r="B4" s="71" t="str">
        <x:v>基准年用电量</x:v>
      </x:c>
      <x:c r="C4" s="71" t="str">
        <x:v>基准年用电量</x:v>
      </x:c>
      <x:c r="D4" s="71" t="str">
        <x:v>基准年电费</x:v>
      </x:c>
      <x:c r="E4" s="71" t="str">
        <x:v>基准年电费</x:v>
      </x:c>
      <x:c r="F4" s="71" t="str">
        <x:v>基准年电费</x:v>
      </x:c>
      <x:c r="G4" s="71" t="str">
        <x:v>基准年碳排放</x:v>
      </x:c>
      <x:c r="H4" s="71" t="str">
        <x:v>基准年碳排放</x:v>
      </x:c>
      <x:c r="I4" s="71" t="str">
        <x:v>基准年碳排放</x:v>
      </x:c>
      <x:c r="J4" s="71" t="str">
        <x:v>组合购电量降幅</x:v>
      </x:c>
      <x:c r="K4" s="71" t="str">
        <x:v>组合购电量降幅</x:v>
      </x:c>
      <x:c r="L4" s="71" t="str">
        <x:v>组合购电量降幅</x:v>
      </x:c>
    </x:row>
    <x:row r="5">
      <x:c r="A5" s="92" t="n">
        <x:f>'设备输入'!G8</x:f>
        <x:v>182160</x:v>
      </x:c>
      <x:c r="B5" s="93"/>
      <x:c r="C5" s="94"/>
      <x:c r="D5" s="110" t="n">
        <x:f>'设备输入'!H8</x:f>
        <x:v>145728</x:v>
      </x:c>
      <x:c r="E5" s="111"/>
      <x:c r="F5" s="112"/>
      <x:c r="G5" s="128" t="n">
        <x:f>'设备输入'!I8/1000</x:f>
        <x:v>103.83119999999998</x:v>
      </x:c>
      <x:c r="H5" s="129"/>
      <x:c r="I5" s="130"/>
      <x:c r="J5" s="146" t="n">
        <x:f>'组合方案'!B19</x:f>
        <x:v>0.371699604743083</x:v>
      </x:c>
      <x:c r="K5" s="147"/>
      <x:c r="L5" s="148"/>
    </x:row>
    <x:row r="6">
      <x:c r="A6" s="95"/>
      <x:c r="B6" s="96"/>
      <x:c r="C6" s="97"/>
      <x:c r="D6" s="113"/>
      <x:c r="E6" s="114"/>
      <x:c r="F6" s="115"/>
      <x:c r="G6" s="131"/>
      <x:c r="H6" s="132"/>
      <x:c r="I6" s="133"/>
      <x:c r="J6" s="149"/>
      <x:c r="K6" s="150"/>
      <x:c r="L6" s="151"/>
    </x:row>
    <x:row r="8">
      <x:c r="A8" s="165" t="str">
        <x:v>结论：照明与空调占基准用电量 72.34%；建议先实施空调管理与 LED 改造，再接入分项计量和分时电价策略，光伏在完成屋面与并网评估后推进。</x:v>
      </x:c>
      <x:c r="B8" s="166" t="str">
        <x:v>结论：照明与空调占基准用电量 72.34%；建议先实施空调管理与 LED 改造，再接入分项计量和分时电价策略，光伏在完成屋面与并网评估后推进。</x:v>
      </x:c>
      <x:c r="C8" s="166" t="str">
        <x:v>结论：照明与空调占基准用电量 72.34%；建议先实施空调管理与 LED 改造，再接入分项计量和分时电价策略，光伏在完成屋面与并网评估后推进。</x:v>
      </x:c>
      <x:c r="D8" s="166" t="str">
        <x:v>结论：照明与空调占基准用电量 72.34%；建议先实施空调管理与 LED 改造，再接入分项计量和分时电价策略，光伏在完成屋面与并网评估后推进。</x:v>
      </x:c>
      <x:c r="E8" s="166" t="str">
        <x:v>结论：照明与空调占基准用电量 72.34%；建议先实施空调管理与 LED 改造，再接入分项计量和分时电价策略，光伏在完成屋面与并网评估后推进。</x:v>
      </x:c>
      <x:c r="F8" s="166" t="str">
        <x:v>结论：照明与空调占基准用电量 72.34%；建议先实施空调管理与 LED 改造，再接入分项计量和分时电价策略，光伏在完成屋面与并网评估后推进。</x:v>
      </x:c>
      <x:c r="G8" s="166" t="str">
        <x:v>结论：照明与空调占基准用电量 72.34%；建议先实施空调管理与 LED 改造，再接入分项计量和分时电价策略，光伏在完成屋面与并网评估后推进。</x:v>
      </x:c>
      <x:c r="H8" s="166" t="str">
        <x:v>结论：照明与空调占基准用电量 72.34%；建议先实施空调管理与 LED 改造，再接入分项计量和分时电价策略，光伏在完成屋面与并网评估后推进。</x:v>
      </x:c>
      <x:c r="I8" s="166" t="str">
        <x:v>结论：照明与空调占基准用电量 72.34%；建议先实施空调管理与 LED 改造，再接入分项计量和分时电价策略，光伏在完成屋面与并网评估后推进。</x:v>
      </x:c>
      <x:c r="J8" s="166" t="str">
        <x:v>结论：照明与空调占基准用电量 72.34%；建议先实施空调管理与 LED 改造，再接入分项计量和分时电价策略，光伏在完成屋面与并网评估后推进。</x:v>
      </x:c>
      <x:c r="K8" s="166" t="str">
        <x:v>结论：照明与空调占基准用电量 72.34%；建议先实施空调管理与 LED 改造，再接入分项计量和分时电价策略，光伏在完成屋面与并网评估后推进。</x:v>
      </x:c>
      <x:c r="L8" s="167" t="str">
        <x:v>结论：照明与空调占基准用电量 72.34%；建议先实施空调管理与 LED 改造，再接入分项计量和分时电价策略，光伏在完成屋面与并网评估后推进。</x:v>
      </x:c>
    </x:row>
    <x:row r="9">
      <x:c r="A9" s="168" t="str">
        <x:v>结论：照明与空调占基准用电量 72.34%；建议先实施空调管理与 LED 改造，再接入分项计量和分时电价策略，光伏在完成屋面与并网评估后推进。</x:v>
      </x:c>
      <x:c r="B9" s="169" t="str">
        <x:v>结论：照明与空调占基准用电量 72.34%；建议先实施空调管理与 LED 改造，再接入分项计量和分时电价策略，光伏在完成屋面与并网评估后推进。</x:v>
      </x:c>
      <x:c r="C9" s="169" t="str">
        <x:v>结论：照明与空调占基准用电量 72.34%；建议先实施空调管理与 LED 改造，再接入分项计量和分时电价策略，光伏在完成屋面与并网评估后推进。</x:v>
      </x:c>
      <x:c r="D9" s="169" t="str">
        <x:v>结论：照明与空调占基准用电量 72.34%；建议先实施空调管理与 LED 改造，再接入分项计量和分时电价策略，光伏在完成屋面与并网评估后推进。</x:v>
      </x:c>
      <x:c r="E9" s="169" t="str">
        <x:v>结论：照明与空调占基准用电量 72.34%；建议先实施空调管理与 LED 改造，再接入分项计量和分时电价策略，光伏在完成屋面与并网评估后推进。</x:v>
      </x:c>
      <x:c r="F9" s="169" t="str">
        <x:v>结论：照明与空调占基准用电量 72.34%；建议先实施空调管理与 LED 改造，再接入分项计量和分时电价策略，光伏在完成屋面与并网评估后推进。</x:v>
      </x:c>
      <x:c r="G9" s="169" t="str">
        <x:v>结论：照明与空调占基准用电量 72.34%；建议先实施空调管理与 LED 改造，再接入分项计量和分时电价策略，光伏在完成屋面与并网评估后推进。</x:v>
      </x:c>
      <x:c r="H9" s="169" t="str">
        <x:v>结论：照明与空调占基准用电量 72.34%；建议先实施空调管理与 LED 改造，再接入分项计量和分时电价策略，光伏在完成屋面与并网评估后推进。</x:v>
      </x:c>
      <x:c r="I9" s="169" t="str">
        <x:v>结论：照明与空调占基准用电量 72.34%；建议先实施空调管理与 LED 改造，再接入分项计量和分时电价策略，光伏在完成屋面与并网评估后推进。</x:v>
      </x:c>
      <x:c r="J9" s="169" t="str">
        <x:v>结论：照明与空调占基准用电量 72.34%；建议先实施空调管理与 LED 改造，再接入分项计量和分时电价策略，光伏在完成屋面与并网评估后推进。</x:v>
      </x:c>
      <x:c r="K9" s="169" t="str">
        <x:v>结论：照明与空调占基准用电量 72.34%；建议先实施空调管理与 LED 改造，再接入分项计量和分时电价策略，光伏在完成屋面与并网评估后推进。</x:v>
      </x:c>
      <x:c r="L9" s="170" t="str">
        <x:v>结论：照明与空调占基准用电量 72.34%；建议先实施空调管理与 LED 改造，再接入分项计量和分时电价策略，光伏在完成屋面与并网评估后推进。</x:v>
      </x:c>
    </x:row>
    <x:row r="28">
      <x:c r="A28" s="8" t="str">
        <x:v>设备类型</x:v>
      </x:c>
      <x:c r="B28" s="8" t="str">
        <x:v>年用电量(kWh)</x:v>
      </x:c>
      <x:c r="D28" s="8" t="str">
        <x:v>方案</x:v>
      </x:c>
      <x:c r="E28" s="8" t="str">
        <x:v>年节省电费(元)</x:v>
      </x:c>
    </x:row>
    <x:row r="29">
      <x:c r="A29" s="12" t="str">
        <x:v>照明设备</x:v>
      </x:c>
      <x:c r="B29" s="60" t="n">
        <x:f>'设备输入'!G4</x:f>
        <x:v>86400</x:v>
      </x:c>
      <x:c r="D29" s="12" t="str">
        <x:v>LED</x:v>
      </x:c>
      <x:c r="E29" s="46" t="n">
        <x:f>'方案测算'!E4</x:f>
        <x:v>27648</x:v>
      </x:c>
    </x:row>
    <x:row r="30">
      <x:c r="A30" s="13" t="str">
        <x:v>空调设备</x:v>
      </x:c>
      <x:c r="B30" s="52" t="n">
        <x:f>'设备输入'!G5</x:f>
        <x:v>45360</x:v>
      </x:c>
      <x:c r="D30" s="13" t="str">
        <x:v>空调管理</x:v>
      </x:c>
      <x:c r="E30" s="47" t="n">
        <x:f>'方案测算'!E5</x:f>
        <x:v>3628.8</x:v>
      </x:c>
    </x:row>
    <x:row r="31">
      <x:c r="A31" s="13" t="str">
        <x:v>插座设备</x:v>
      </x:c>
      <x:c r="B31" s="52" t="n">
        <x:f>'设备输入'!G6</x:f>
        <x:v>21600</x:v>
      </x:c>
      <x:c r="D31" s="13" t="str">
        <x:v>分时电价</x:v>
      </x:c>
      <x:c r="E31" s="47" t="n">
        <x:f>'方案测算'!E6</x:f>
        <x:v>4536</x:v>
      </x:c>
    </x:row>
    <x:row r="32">
      <x:c r="A32" s="13" t="str">
        <x:v>公共设备</x:v>
      </x:c>
      <x:c r="B32" s="52" t="n">
        <x:f>'设备输入'!G7</x:f>
        <x:v>28800</x:v>
      </x:c>
      <x:c r="D32" s="13" t="str">
        <x:v>屋顶光伏</x:v>
      </x:c>
      <x:c r="E32" s="47" t="n">
        <x:f>'方案测算'!E7</x:f>
        <x:v>29145.600000000002</x:v>
      </x:c>
    </x:row>
    <x:row r="33">
      <x:c r="D33" s="13" t="str">
        <x:v>组合方案</x:v>
      </x:c>
      <x:c r="E33" s="47" t="n">
        <x:f>'方案测算'!E8</x:f>
        <x:v>57795.84</x:v>
      </x:c>
    </x:row>
  </x:sheetData>
  <x:mergeCells>
    <x:mergeCell ref="A1:L2"/>
    <x:mergeCell ref="A4:C4"/>
    <x:mergeCell ref="A5:C6"/>
    <x:mergeCell ref="D4:F4"/>
    <x:mergeCell ref="D5:F6"/>
    <x:mergeCell ref="G4:I4"/>
    <x:mergeCell ref="G5:I6"/>
    <x:mergeCell ref="J4:L4"/>
    <x:mergeCell ref="J5:L6"/>
    <x:mergeCell ref="A8:L9"/>
  </x:mergeCells>
  <x:pageMargins left="0.7" right="0.7" top="0.75" bottom="0.75" header="0.3" footer="0.3"/>
  <x:drawing xmlns:r="http://schemas.openxmlformats.org/officeDocument/2006/relationships" r:id="R3ebdf888801d43e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</x:cols>
  <x:sheetData>
    <x:row r="1" ht="34" customHeight="1">
      <x:c r="A1" s="3" t="str">
        <x:v>设备输入与基准能耗测算</x:v>
      </x:c>
      <x:c r="B1" s="3" t="str">
        <x:v>设备输入与基准能耗测算</x:v>
      </x:c>
      <x:c r="C1" s="3" t="str">
        <x:v>设备输入与基准能耗测算</x:v>
      </x:c>
      <x:c r="D1" s="3" t="str">
        <x:v>设备输入与基准能耗测算</x:v>
      </x:c>
      <x:c r="E1" s="3" t="str">
        <x:v>设备输入与基准能耗测算</x:v>
      </x:c>
      <x:c r="F1" s="3" t="str">
        <x:v>设备输入与基准能耗测算</x:v>
      </x:c>
      <x:c r="G1" s="3" t="str">
        <x:v>设备输入与基准能耗测算</x:v>
      </x:c>
      <x:c r="H1" s="3" t="str">
        <x:v>设备输入与基准能耗测算</x:v>
      </x:c>
      <x:c r="I1" s="3" t="str">
        <x:v>设备输入与基准能耗测算</x:v>
      </x:c>
      <x:c r="J1" s="3" t="str">
        <x:v>设备输入与基准能耗测算</x:v>
      </x:c>
    </x:row>
    <x:row r="3">
      <x:c r="A3" s="8" t="str">
        <x:v>设备类型</x:v>
      </x:c>
      <x:c r="B3" s="8" t="str">
        <x:v>数量</x:v>
      </x:c>
      <x:c r="C3" s="8" t="str">
        <x:v>单台功率(W)</x:v>
      </x:c>
      <x:c r="D3" s="8" t="str">
        <x:v>每日时长(h)</x:v>
      </x:c>
      <x:c r="E3" s="8" t="str">
        <x:v>年运行天数(d)</x:v>
      </x:c>
      <x:c r="F3" s="8" t="str">
        <x:v>负载系数</x:v>
      </x:c>
      <x:c r="G3" s="8" t="str">
        <x:v>年用电量(kWh)</x:v>
      </x:c>
      <x:c r="H3" s="8" t="str">
        <x:v>年电费(元)</x:v>
      </x:c>
      <x:c r="I3" s="8" t="str">
        <x:v>年碳排放(kgCO2e)</x:v>
      </x:c>
      <x:c r="J3" s="8" t="str">
        <x:v>数据说明</x:v>
      </x:c>
    </x:row>
    <x:row r="4">
      <x:c r="A4" s="12" t="str">
        <x:v>照明设备</x:v>
      </x:c>
      <x:c r="B4" s="21" t="n">
        <x:v>800</x:v>
      </x:c>
      <x:c r="C4" s="21" t="n">
        <x:v>40</x:v>
      </x:c>
      <x:c r="D4" s="21" t="n">
        <x:v>10</x:v>
      </x:c>
      <x:c r="E4" s="21" t="n">
        <x:v>300</x:v>
      </x:c>
      <x:c r="F4" s="19" t="n">
        <x:v>0.9</x:v>
      </x:c>
      <x:c r="G4" s="43" t="n">
        <x:f>B4*C4*D4*E4*F4/1000</x:f>
        <x:v>86400</x:v>
      </x:c>
      <x:c r="H4" s="46" t="n">
        <x:f>G4*'参数设置'!$B$4</x:f>
        <x:v>69120</x:v>
      </x:c>
      <x:c r="I4" s="46" t="n">
        <x:f>G4*'参数设置'!$B$5</x:f>
        <x:v>49247.99999999999</x:v>
      </x:c>
      <x:c r="J4" s="12" t="str">
        <x:v>模拟设备台账</x:v>
      </x:c>
    </x:row>
    <x:row r="5">
      <x:c r="A5" s="13" t="str">
        <x:v>空调设备</x:v>
      </x:c>
      <x:c r="B5" s="22" t="n">
        <x:v>60</x:v>
      </x:c>
      <x:c r="C5" s="22" t="n">
        <x:v>1500</x:v>
      </x:c>
      <x:c r="D5" s="22" t="n">
        <x:v>6</x:v>
      </x:c>
      <x:c r="E5" s="22" t="n">
        <x:v>120</x:v>
      </x:c>
      <x:c r="F5" s="20" t="n">
        <x:v>0.7</x:v>
      </x:c>
      <x:c r="G5" s="44" t="n">
        <x:f>B5*C5*D5*E5*F5/1000</x:f>
        <x:v>45360</x:v>
      </x:c>
      <x:c r="H5" s="47" t="n">
        <x:f>G5*'参数设置'!$B$4</x:f>
        <x:v>36288</x:v>
      </x:c>
      <x:c r="I5" s="47" t="n">
        <x:f>G5*'参数设置'!$B$5</x:f>
        <x:v>25855.199999999997</x:v>
      </x:c>
      <x:c r="J5" s="13" t="str">
        <x:v>模拟设备台账</x:v>
      </x:c>
    </x:row>
    <x:row r="6">
      <x:c r="A6" s="13" t="str">
        <x:v>插座设备</x:v>
      </x:c>
      <x:c r="B6" s="22" t="n">
        <x:v>300</x:v>
      </x:c>
      <x:c r="C6" s="22" t="n">
        <x:v>80</x:v>
      </x:c>
      <x:c r="D6" s="22" t="n">
        <x:v>6</x:v>
      </x:c>
      <x:c r="E6" s="22" t="n">
        <x:v>300</x:v>
      </x:c>
      <x:c r="F6" s="20" t="n">
        <x:v>0.5</x:v>
      </x:c>
      <x:c r="G6" s="44" t="n">
        <x:f>B6*C6*D6*E6*F6/1000</x:f>
        <x:v>21600</x:v>
      </x:c>
      <x:c r="H6" s="47" t="n">
        <x:f>G6*'参数设置'!$B$4</x:f>
        <x:v>17280</x:v>
      </x:c>
      <x:c r="I6" s="47" t="n">
        <x:f>G6*'参数设置'!$B$5</x:f>
        <x:v>12311.999999999998</x:v>
      </x:c>
      <x:c r="J6" s="13" t="str">
        <x:v>等效负荷</x:v>
      </x:c>
    </x:row>
    <x:row r="7">
      <x:c r="A7" s="13" t="str">
        <x:v>公共设备</x:v>
      </x:c>
      <x:c r="B7" s="22" t="n">
        <x:v>20</x:v>
      </x:c>
      <x:c r="C7" s="22" t="n">
        <x:v>1000</x:v>
      </x:c>
      <x:c r="D7" s="22" t="n">
        <x:v>8</x:v>
      </x:c>
      <x:c r="E7" s="22" t="n">
        <x:v>300</x:v>
      </x:c>
      <x:c r="F7" s="20" t="n">
        <x:v>0.6</x:v>
      </x:c>
      <x:c r="G7" s="44" t="n">
        <x:f>B7*C7*D7*E7*F7/1000</x:f>
        <x:v>28800</x:v>
      </x:c>
      <x:c r="H7" s="47" t="n">
        <x:f>G7*'参数设置'!$B$4</x:f>
        <x:v>23040</x:v>
      </x:c>
      <x:c r="I7" s="47" t="n">
        <x:f>G7*'参数设置'!$B$5</x:f>
        <x:v>16416</x:v>
      </x:c>
      <x:c r="J7" s="13" t="str">
        <x:v>等效负荷</x:v>
      </x:c>
    </x:row>
    <x:row r="8">
      <x:c r="A8" s="39" t="str">
        <x:v>合计</x:v>
      </x:c>
      <x:c r="B8" s="42"/>
      <x:c r="C8" s="42"/>
      <x:c r="D8" s="42"/>
      <x:c r="E8" s="42"/>
      <x:c r="F8" s="39"/>
      <x:c r="G8" s="45" t="n">
        <x:f>SUM(G4:G7)</x:f>
        <x:v>182160</x:v>
      </x:c>
      <x:c r="H8" s="48" t="n">
        <x:f>SUM(H4:H7)</x:f>
        <x:v>145728</x:v>
      </x:c>
      <x:c r="I8" s="48" t="n">
        <x:f>SUM(I4:I7)</x:f>
        <x:v>103831.19999999998</x:v>
      </x:c>
      <x:c r="J8" s="39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8" hidden="0" customWidth="1"/>
  </x:cols>
  <x:sheetData>
    <x:row r="1" ht="34" customHeight="1">
      <x:c r="A1" s="3" t="str">
        <x:v>参数设置｜蓝色字体为可编辑模拟输入</x:v>
      </x:c>
      <x:c r="B1" s="3" t="str">
        <x:v>参数设置｜蓝色字体为可编辑模拟输入</x:v>
      </x:c>
      <x:c r="C1" s="3" t="str">
        <x:v>参数设置｜蓝色字体为可编辑模拟输入</x:v>
      </x:c>
      <x:c r="D1" s="3" t="str">
        <x:v>参数设置｜蓝色字体为可编辑模拟输入</x:v>
      </x:c>
      <x:c r="E1" s="3" t="str">
        <x:v>参数设置｜蓝色字体为可编辑模拟输入</x:v>
      </x:c>
      <x:c r="F1" s="3" t="str">
        <x:v>参数设置｜蓝色字体为可编辑模拟输入</x:v>
      </x:c>
      <x:c r="G1" s="3" t="str">
        <x:v>参数设置｜蓝色字体为可编辑模拟输入</x:v>
      </x:c>
      <x:c r="H1" s="3" t="str">
        <x:v>参数设置｜蓝色字体为可编辑模拟输入</x:v>
      </x:c>
    </x:row>
    <x:row r="3">
      <x:c r="A3" s="8" t="str">
        <x:v>全局参数</x:v>
      </x:c>
      <x:c r="B3" s="8" t="str">
        <x:v>数值</x:v>
      </x:c>
      <x:c r="C3" s="8" t="str">
        <x:v>单位</x:v>
      </x:c>
      <x:c r="D3" s="8" t="str">
        <x:v>数据类型</x:v>
      </x:c>
      <x:c r="E3" s="8" t="str">
        <x:v>说明</x:v>
      </x:c>
    </x:row>
    <x:row r="4">
      <x:c r="A4" s="12" t="str">
        <x:v>平均电价</x:v>
      </x:c>
      <x:c r="B4" s="16" t="n">
        <x:v>0.8</x:v>
      </x:c>
      <x:c r="C4" s="12" t="str">
        <x:v>元/kWh</x:v>
      </x:c>
      <x:c r="D4" s="12" t="str">
        <x:v>模拟输入</x:v>
      </x:c>
      <x:c r="E4" s="12" t="str">
        <x:v>后续按学校电费账单替换</x:v>
      </x:c>
    </x:row>
    <x:row r="5">
      <x:c r="A5" s="13" t="str">
        <x:v>电力排放因子</x:v>
      </x:c>
      <x:c r="B5" s="17" t="n">
        <x:v>0.57</x:v>
      </x:c>
      <x:c r="C5" s="13" t="str">
        <x:v>kgCO2e/kWh</x:v>
      </x:c>
      <x:c r="D5" s="13" t="str">
        <x:v>模拟输入</x:v>
      </x:c>
      <x:c r="E5" s="13" t="str">
        <x:v>按研究年度与区域口径更新</x:v>
      </x:c>
    </x:row>
    <x:row r="6">
      <x:c r="A6" s="13" t="str">
        <x:v>评价期</x:v>
      </x:c>
      <x:c r="B6" s="18" t="n">
        <x:v>10</x:v>
      </x:c>
      <x:c r="C6" s="13" t="str">
        <x:v>年</x:v>
      </x:c>
      <x:c r="D6" s="13" t="str">
        <x:v>模拟输入</x:v>
      </x:c>
      <x:c r="E6" s="13" t="str">
        <x:v>用于累计净收益测算</x:v>
      </x:c>
    </x:row>
    <x:row r="8">
      <x:c r="A8" s="8" t="str">
        <x:v>方案</x:v>
      </x:c>
      <x:c r="B8" s="8" t="str">
        <x:v>目标负荷</x:v>
      </x:c>
      <x:c r="C8" s="8" t="str">
        <x:v>节能/替代比例</x:v>
      </x:c>
      <x:c r="D8" s="8" t="str">
        <x:v>投资成本(元)</x:v>
      </x:c>
      <x:c r="E8" s="8" t="str">
        <x:v>峰电价</x:v>
      </x:c>
      <x:c r="F8" s="8" t="str">
        <x:v>谷电价</x:v>
      </x:c>
      <x:c r="G8" s="8" t="str">
        <x:v>移峰比例</x:v>
      </x:c>
      <x:c r="H8" s="8" t="str">
        <x:v>说明</x:v>
      </x:c>
    </x:row>
    <x:row r="9">
      <x:c r="A9" s="12" t="str">
        <x:v>LED照明替换</x:v>
      </x:c>
      <x:c r="B9" s="12" t="str">
        <x:v>照明设备</x:v>
      </x:c>
      <x:c r="C9" s="19" t="n">
        <x:v>0.4</x:v>
      </x:c>
      <x:c r="D9" s="21" t="n">
        <x:v>30000</x:v>
      </x:c>
      <x:c r="E9" s="16"/>
      <x:c r="F9" s="16"/>
      <x:c r="G9" s="19"/>
      <x:c r="H9" s="12" t="str">
        <x:v>替换传统灯具</x:v>
      </x:c>
    </x:row>
    <x:row r="10">
      <x:c r="A10" s="13" t="str">
        <x:v>空调温度管理</x:v>
      </x:c>
      <x:c r="B10" s="13" t="str">
        <x:v>空调设备</x:v>
      </x:c>
      <x:c r="C10" s="20" t="n">
        <x:v>0.1</x:v>
      </x:c>
      <x:c r="D10" s="22" t="n">
        <x:v>5000</x:v>
      </x:c>
      <x:c r="E10" s="17"/>
      <x:c r="F10" s="17"/>
      <x:c r="G10" s="20"/>
      <x:c r="H10" s="13" t="str">
        <x:v>优化温度与运行时段</x:v>
      </x:c>
    </x:row>
    <x:row r="11">
      <x:c r="A11" s="13" t="str">
        <x:v>分时电价响应</x:v>
      </x:c>
      <x:c r="B11" s="13" t="str">
        <x:v>插座+公共设备</x:v>
      </x:c>
      <x:c r="C11" s="20" t="n">
        <x:v>0</x:v>
      </x:c>
      <x:c r="D11" s="22" t="n">
        <x:v>8000</x:v>
      </x:c>
      <x:c r="E11" s="17" t="n">
        <x:v>1</x:v>
      </x:c>
      <x:c r="F11" s="17" t="n">
        <x:v>0.55</x:v>
      </x:c>
      <x:c r="G11" s="20" t="n">
        <x:v>0.2</x:v>
      </x:c>
      <x:c r="H11" s="13" t="str">
        <x:v>只移峰、不直接节电</x:v>
      </x:c>
    </x:row>
    <x:row r="12">
      <x:c r="A12" s="13" t="str">
        <x:v>屋顶光伏接入</x:v>
      </x:c>
      <x:c r="B12" s="13" t="str">
        <x:v>全部设备</x:v>
      </x:c>
      <x:c r="C12" s="20" t="n">
        <x:v>0.2</x:v>
      </x:c>
      <x:c r="D12" s="22" t="n">
        <x:v>120000</x:v>
      </x:c>
      <x:c r="E12" s="17"/>
      <x:c r="F12" s="17"/>
      <x:c r="G12" s="20"/>
      <x:c r="H12" s="13" t="str">
        <x:v>按购电量比例替代</x:v>
      </x:c>
    </x:row>
    <x:row r="14">
      <x:c r="A14" s="31" t="str">
        <x:v>说明：本工作簿采用模拟数据验证方法。修改输入后，请查看“检查”页是否仍为 OK，并用 Python 脚本进行交叉复算。</x:v>
      </x:c>
      <x:c r="B14" s="32" t="str">
        <x:v>说明：本工作簿采用模拟数据验证方法。修改输入后，请查看“检查”页是否仍为 OK，并用 Python 脚本进行交叉复算。</x:v>
      </x:c>
      <x:c r="C14" s="32" t="str">
        <x:v>说明：本工作簿采用模拟数据验证方法。修改输入后，请查看“检查”页是否仍为 OK，并用 Python 脚本进行交叉复算。</x:v>
      </x:c>
      <x:c r="D14" s="32" t="str">
        <x:v>说明：本工作簿采用模拟数据验证方法。修改输入后，请查看“检查”页是否仍为 OK，并用 Python 脚本进行交叉复算。</x:v>
      </x:c>
      <x:c r="E14" s="32" t="str">
        <x:v>说明：本工作簿采用模拟数据验证方法。修改输入后，请查看“检查”页是否仍为 OK，并用 Python 脚本进行交叉复算。</x:v>
      </x:c>
      <x:c r="F14" s="32" t="str">
        <x:v>说明：本工作簿采用模拟数据验证方法。修改输入后，请查看“检查”页是否仍为 OK，并用 Python 脚本进行交叉复算。</x:v>
      </x:c>
      <x:c r="G14" s="32" t="str">
        <x:v>说明：本工作簿采用模拟数据验证方法。修改输入后，请查看“检查”页是否仍为 OK，并用 Python 脚本进行交叉复算。</x:v>
      </x:c>
      <x:c r="H14" s="33" t="str">
        <x:v>说明：本工作簿采用模拟数据验证方法。修改输入后，请查看“检查”页是否仍为 OK，并用 Python 脚本进行交叉复算。</x:v>
      </x:c>
    </x:row>
    <x:row r="15">
      <x:c r="A15" s="34" t="str">
        <x:v>说明：本工作簿采用模拟数据验证方法。修改输入后，请查看“检查”页是否仍为 OK，并用 Python 脚本进行交叉复算。</x:v>
      </x:c>
      <x:c r="B15" s="35" t="str">
        <x:v>说明：本工作簿采用模拟数据验证方法。修改输入后，请查看“检查”页是否仍为 OK，并用 Python 脚本进行交叉复算。</x:v>
      </x:c>
      <x:c r="C15" s="35" t="str">
        <x:v>说明：本工作簿采用模拟数据验证方法。修改输入后，请查看“检查”页是否仍为 OK，并用 Python 脚本进行交叉复算。</x:v>
      </x:c>
      <x:c r="D15" s="35" t="str">
        <x:v>说明：本工作簿采用模拟数据验证方法。修改输入后，请查看“检查”页是否仍为 OK，并用 Python 脚本进行交叉复算。</x:v>
      </x:c>
      <x:c r="E15" s="35" t="str">
        <x:v>说明：本工作簿采用模拟数据验证方法。修改输入后，请查看“检查”页是否仍为 OK，并用 Python 脚本进行交叉复算。</x:v>
      </x:c>
      <x:c r="F15" s="35" t="str">
        <x:v>说明：本工作簿采用模拟数据验证方法。修改输入后，请查看“检查”页是否仍为 OK，并用 Python 脚本进行交叉复算。</x:v>
      </x:c>
      <x:c r="G15" s="35" t="str">
        <x:v>说明：本工作簿采用模拟数据验证方法。修改输入后，请查看“检查”页是否仍为 OK，并用 Python 脚本进行交叉复算。</x:v>
      </x:c>
      <x:c r="H15" s="36" t="str">
        <x:v>说明：本工作簿采用模拟数据验证方法。修改输入后，请查看“检查”页是否仍为 OK，并用 Python 脚本进行交叉复算。</x:v>
      </x:c>
    </x:row>
  </x:sheetData>
  <x:mergeCells>
    <x:mergeCell ref="A1:H1"/>
    <x:mergeCell ref="A14:H15"/>
  </x:mergeCells>
  <x:dataValidations count="2">
    <x:dataValidation type="decimal" operator="between" sqref="C9:C12">
      <x:formula1>0</x:formula1>
      <x:formula2>1</x:formula2>
    </x:dataValidation>
    <x:dataValidation type="decimal" operator="between" sqref="G9:G12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</x:cols>
  <x:sheetData>
    <x:row r="1" ht="34" customHeight="1">
      <x:c r="A1" s="3" t="str">
        <x:v>单项与组合方案测算</x:v>
      </x:c>
      <x:c r="B1" s="3" t="str">
        <x:v>单项与组合方案测算</x:v>
      </x:c>
      <x:c r="C1" s="3" t="str">
        <x:v>单项与组合方案测算</x:v>
      </x:c>
      <x:c r="D1" s="3" t="str">
        <x:v>单项与组合方案测算</x:v>
      </x:c>
      <x:c r="E1" s="3" t="str">
        <x:v>单项与组合方案测算</x:v>
      </x:c>
      <x:c r="F1" s="3" t="str">
        <x:v>单项与组合方案测算</x:v>
      </x:c>
      <x:c r="G1" s="3" t="str">
        <x:v>单项与组合方案测算</x:v>
      </x:c>
      <x:c r="H1" s="3" t="str">
        <x:v>单项与组合方案测算</x:v>
      </x:c>
      <x:c r="I1" s="3" t="str">
        <x:v>单项与组合方案测算</x:v>
      </x:c>
      <x:c r="J1" s="3" t="str">
        <x:v>单项与组合方案测算</x:v>
      </x:c>
    </x:row>
    <x:row r="3">
      <x:c r="A3" s="8" t="str">
        <x:v>方案</x:v>
      </x:c>
      <x:c r="B3" s="8" t="str">
        <x:v>目标对象</x:v>
      </x:c>
      <x:c r="C3" s="8" t="str">
        <x:v>年节电/替代量(kWh)</x:v>
      </x:c>
      <x:c r="D3" s="8" t="str">
        <x:v>年移峰电量(kWh)</x:v>
      </x:c>
      <x:c r="E3" s="8" t="str">
        <x:v>年节省电费(元)</x:v>
      </x:c>
      <x:c r="F3" s="8" t="str">
        <x:v>年减排(tCO2e)</x:v>
      </x:c>
      <x:c r="G3" s="8" t="str">
        <x:v>投资(元)</x:v>
      </x:c>
      <x:c r="H3" s="8" t="str">
        <x:v>回收期(年)</x:v>
      </x:c>
      <x:c r="I3" s="8" t="str">
        <x:v>10年净收益(元)</x:v>
      </x:c>
      <x:c r="J3" s="8" t="str">
        <x:v>实施建议</x:v>
      </x:c>
    </x:row>
    <x:row r="4">
      <x:c r="A4" s="12" t="str">
        <x:v>LED照明替换</x:v>
      </x:c>
      <x:c r="B4" s="12" t="str">
        <x:v>照明设备</x:v>
      </x:c>
      <x:c r="C4" s="49" t="n">
        <x:f>'设备输入'!G4*'参数设置'!C9</x:f>
        <x:v>34560</x:v>
      </x:c>
      <x:c r="D4" s="49" t="n">
        <x:f>0</x:f>
        <x:v>0</x:v>
      </x:c>
      <x:c r="E4" s="46" t="n">
        <x:f>C4*'参数设置'!B4</x:f>
        <x:v>27648</x:v>
      </x:c>
      <x:c r="F4" s="59" t="n">
        <x:f>C4*'参数设置'!B5/1000</x:f>
        <x:v>19.699199999999998</x:v>
      </x:c>
      <x:c r="G4" s="60" t="n">
        <x:f>'参数设置'!D9</x:f>
        <x:v>30000</x:v>
      </x:c>
      <x:c r="H4" s="59" t="n">
        <x:f>G4/E4</x:f>
        <x:v>1.0850694444444444</x:v>
      </x:c>
      <x:c r="I4" s="46" t="n">
        <x:f>E4*'参数设置'!B6-G4</x:f>
        <x:v>246480</x:v>
      </x:c>
      <x:c r="J4" s="12" t="str">
        <x:f>IF(H4&lt;=1.5,"优先实施",IF(H4&lt;=3,"中期实施","长期实施"))</x:f>
        <x:v>优先实施</x:v>
      </x:c>
    </x:row>
    <x:row r="5">
      <x:c r="A5" s="13" t="str">
        <x:v>空调温度管理</x:v>
      </x:c>
      <x:c r="B5" s="13" t="str">
        <x:v>空调设备</x:v>
      </x:c>
      <x:c r="C5" s="50" t="n">
        <x:f>'设备输入'!G5*'参数设置'!C10</x:f>
        <x:v>4536</x:v>
      </x:c>
      <x:c r="D5" s="50" t="n">
        <x:f>0</x:f>
        <x:v>0</x:v>
      </x:c>
      <x:c r="E5" s="47" t="n">
        <x:f>C5*'参数设置'!B4</x:f>
        <x:v>3628.8</x:v>
      </x:c>
      <x:c r="F5" s="51" t="n">
        <x:f>C5*'参数设置'!B5/1000</x:f>
        <x:v>2.58552</x:v>
      </x:c>
      <x:c r="G5" s="52" t="n">
        <x:f>'参数设置'!D10</x:f>
        <x:v>5000</x:v>
      </x:c>
      <x:c r="H5" s="51" t="n">
        <x:f>G5/E5</x:f>
        <x:v>1.3778659611992945</x:v>
      </x:c>
      <x:c r="I5" s="47" t="n">
        <x:f>E5*'参数设置'!B6-G5</x:f>
        <x:v>31288</x:v>
      </x:c>
      <x:c r="J5" s="13" t="str">
        <x:f>IF(H5&lt;=1.5,"优先实施",IF(H5&lt;=3,"中期实施","长期实施"))</x:f>
        <x:v>优先实施</x:v>
      </x:c>
    </x:row>
    <x:row r="6">
      <x:c r="A6" s="13" t="str">
        <x:v>分时电价响应</x:v>
      </x:c>
      <x:c r="B6" s="13" t="str">
        <x:v>插座+公共设备</x:v>
      </x:c>
      <x:c r="C6" s="50" t="n">
        <x:f>0</x:f>
        <x:v>0</x:v>
      </x:c>
      <x:c r="D6" s="50" t="n">
        <x:f>('设备输入'!G6+'设备输入'!G7)*'参数设置'!G11</x:f>
        <x:v>10080</x:v>
      </x:c>
      <x:c r="E6" s="47" t="n">
        <x:f>D6*('参数设置'!E11-'参数设置'!F11)</x:f>
        <x:v>4536</x:v>
      </x:c>
      <x:c r="F6" s="51" t="n">
        <x:f>0</x:f>
        <x:v>0</x:v>
      </x:c>
      <x:c r="G6" s="52" t="n">
        <x:f>'参数设置'!D11</x:f>
        <x:v>8000</x:v>
      </x:c>
      <x:c r="H6" s="51" t="n">
        <x:f>G6/E6</x:f>
        <x:v>1.763668430335097</x:v>
      </x:c>
      <x:c r="I6" s="47" t="n">
        <x:f>E6*'参数设置'!B6-G6</x:f>
        <x:v>37360</x:v>
      </x:c>
      <x:c r="J6" s="13" t="str">
        <x:f>IF(H6&lt;=1.5,"优先实施",IF(H6&lt;=3,"中期实施","长期实施"))</x:f>
        <x:v>中期实施</x:v>
      </x:c>
    </x:row>
    <x:row r="7">
      <x:c r="A7" s="13" t="str">
        <x:v>屋顶光伏接入</x:v>
      </x:c>
      <x:c r="B7" s="13" t="str">
        <x:v>全馆购电</x:v>
      </x:c>
      <x:c r="C7" s="50" t="n">
        <x:f>'设备输入'!G8*'参数设置'!C12</x:f>
        <x:v>36432</x:v>
      </x:c>
      <x:c r="D7" s="50" t="n">
        <x:f>0</x:f>
        <x:v>0</x:v>
      </x:c>
      <x:c r="E7" s="47" t="n">
        <x:f>C7*'参数设置'!B4</x:f>
        <x:v>29145.600000000002</x:v>
      </x:c>
      <x:c r="F7" s="51" t="n">
        <x:f>C7*'参数设置'!B5/1000</x:f>
        <x:v>20.766239999999996</x:v>
      </x:c>
      <x:c r="G7" s="52" t="n">
        <x:f>'参数设置'!D12</x:f>
        <x:v>120000</x:v>
      </x:c>
      <x:c r="H7" s="51" t="n">
        <x:f>G7/E7</x:f>
        <x:v>4.11725955204216</x:v>
      </x:c>
      <x:c r="I7" s="47" t="n">
        <x:f>E7*'参数设置'!B6-G7</x:f>
        <x:v>171456</x:v>
      </x:c>
      <x:c r="J7" s="13" t="str">
        <x:f>IF(H7&lt;=1.5,"优先实施",IF(H7&lt;=3,"中期实施","长期实施"))</x:f>
        <x:v>长期实施</x:v>
      </x:c>
    </x:row>
    <x:row r="8">
      <x:c r="A8" s="54" t="str">
        <x:v>组合方案</x:v>
      </x:c>
      <x:c r="B8" s="54" t="str">
        <x:v>顺序实施</x:v>
      </x:c>
      <x:c r="C8" s="61" t="n">
        <x:f>'组合方案'!B10</x:f>
        <x:v>67708.8</x:v>
      </x:c>
      <x:c r="D8" s="61" t="n">
        <x:f>'组合方案'!B11</x:f>
        <x:v>8064</x:v>
      </x:c>
      <x:c r="E8" s="55" t="n">
        <x:f>'组合方案'!B14</x:f>
        <x:v>57795.84</x:v>
      </x:c>
      <x:c r="F8" s="56" t="n">
        <x:f>'组合方案'!B15</x:f>
        <x:v>38.594015999999996</x:v>
      </x:c>
      <x:c r="G8" s="57" t="n">
        <x:f>'组合方案'!B16</x:f>
        <x:v>163000</x:v>
      </x:c>
      <x:c r="H8" s="56" t="n">
        <x:f>'组合方案'!B17</x:f>
        <x:v>2.8202721856798</x:v>
      </x:c>
      <x:c r="I8" s="55" t="n">
        <x:f>'组合方案'!B18</x:f>
        <x:v>414958.3999999999</x:v>
      </x:c>
      <x:c r="J8" s="54" t="str">
        <x:f>"推荐组合"</x:f>
        <x:v>推荐组合</x:v>
      </x:c>
    </x:row>
  </x:sheetData>
  <x:mergeCells>
    <x:mergeCell ref="A1:J1"/>
  </x:mergeCells>
  <x:conditionalFormatting sqref="H4:H8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34" customHeight="1">
      <x:c r="A1" s="3" t="str">
        <x:v>组合方案｜按顺序实施避免重复计算</x:v>
      </x:c>
      <x:c r="B1" s="3" t="str">
        <x:v>组合方案｜按顺序实施避免重复计算</x:v>
      </x:c>
      <x:c r="C1" s="3" t="str">
        <x:v>组合方案｜按顺序实施避免重复计算</x:v>
      </x:c>
      <x:c r="D1" s="3" t="str">
        <x:v>组合方案｜按顺序实施避免重复计算</x:v>
      </x:c>
    </x:row>
    <x:row r="3">
      <x:c r="A3" s="8" t="str">
        <x:v>步骤/指标</x:v>
      </x:c>
      <x:c r="B3" s="8" t="str">
        <x:v>数值</x:v>
      </x:c>
      <x:c r="C3" s="8" t="str">
        <x:v>单位</x:v>
      </x:c>
      <x:c r="D3" s="8" t="str">
        <x:v>计算说明</x:v>
      </x:c>
    </x:row>
    <x:row r="4">
      <x:c r="A4" s="12" t="str">
        <x:v>基准年用电量</x:v>
      </x:c>
      <x:c r="B4" s="49" t="n">
        <x:f>'设备输入'!G8</x:f>
        <x:v>182160</x:v>
      </x:c>
      <x:c r="C4" s="12" t="str">
        <x:v>kWh</x:v>
      </x:c>
      <x:c r="D4" s="12" t="str">
        <x:v>设备输入合计</x:v>
      </x:c>
    </x:row>
    <x:row r="5">
      <x:c r="A5" s="13" t="str">
        <x:v>LED节电量</x:v>
      </x:c>
      <x:c r="B5" s="50" t="n">
        <x:f>'设备输入'!G4*'参数设置'!C9</x:f>
        <x:v>34560</x:v>
      </x:c>
      <x:c r="C5" s="13" t="str">
        <x:v>kWh</x:v>
      </x:c>
      <x:c r="D5" s="13" t="str">
        <x:v>照明基准×LED节能率</x:v>
      </x:c>
    </x:row>
    <x:row r="6">
      <x:c r="A6" s="13" t="str">
        <x:v>空调节电量</x:v>
      </x:c>
      <x:c r="B6" s="50" t="n">
        <x:f>'设备输入'!G5*'参数设置'!C10</x:f>
        <x:v>4536</x:v>
      </x:c>
      <x:c r="C6" s="13" t="str">
        <x:v>kWh</x:v>
      </x:c>
      <x:c r="D6" s="13" t="str">
        <x:v>空调基准×管理节能率</x:v>
      </x:c>
    </x:row>
    <x:row r="7">
      <x:c r="A7" s="13" t="str">
        <x:v>节能后用电量</x:v>
      </x:c>
      <x:c r="B7" s="50" t="n">
        <x:f>B4-B5-B6</x:f>
        <x:v>143064</x:v>
      </x:c>
      <x:c r="C7" s="13" t="str">
        <x:v>kWh</x:v>
      </x:c>
      <x:c r="D7" s="13" t="str">
        <x:v>先扣除效率改造</x:v>
      </x:c>
    </x:row>
    <x:row r="8">
      <x:c r="A8" s="13" t="str">
        <x:v>光伏替代电量</x:v>
      </x:c>
      <x:c r="B8" s="50" t="n">
        <x:f>B7*'参数设置'!C12</x:f>
        <x:v>28612.800000000003</x:v>
      </x:c>
      <x:c r="C8" s="13" t="str">
        <x:v>kWh</x:v>
      </x:c>
      <x:c r="D8" s="13" t="str">
        <x:v>节能后用电×光伏比例</x:v>
      </x:c>
    </x:row>
    <x:row r="9">
      <x:c r="A9" s="13" t="str">
        <x:v>改造后购电量</x:v>
      </x:c>
      <x:c r="B9" s="50" t="n">
        <x:f>B7-B8</x:f>
        <x:v>114451.2</x:v>
      </x:c>
      <x:c r="C9" s="13" t="str">
        <x:v>kWh</x:v>
      </x:c>
      <x:c r="D9" s="13" t="str">
        <x:v>节能后用电−光伏替代</x:v>
      </x:c>
    </x:row>
    <x:row r="10">
      <x:c r="A10" s="13" t="str">
        <x:v>合计节电/绿电量</x:v>
      </x:c>
      <x:c r="B10" s="50" t="n">
        <x:f>B4-B9</x:f>
        <x:v>67708.8</x:v>
      </x:c>
      <x:c r="C10" s="13" t="str">
        <x:v>kWh</x:v>
      </x:c>
      <x:c r="D10" s="13" t="str">
        <x:v>基准购电−改造后购电</x:v>
      </x:c>
    </x:row>
    <x:row r="11">
      <x:c r="A11" s="13" t="str">
        <x:v>剩余负荷移峰电量</x:v>
      </x:c>
      <x:c r="B11" s="50" t="n">
        <x:f>('设备输入'!G6+'设备输入'!G7)*(1-'参数设置'!C12)*'参数设置'!G11</x:f>
        <x:v>8064</x:v>
      </x:c>
      <x:c r="C11" s="13" t="str">
        <x:v>kWh</x:v>
      </x:c>
      <x:c r="D11" s="13" t="str">
        <x:v>可移峰负荷扣除光伏后的剩余部分</x:v>
      </x:c>
    </x:row>
    <x:row r="12">
      <x:c r="A12" s="13" t="str">
        <x:v>分时电价节省</x:v>
      </x:c>
      <x:c r="B12" s="47" t="n">
        <x:f>B11*('参数设置'!E11-'参数设置'!F11)</x:f>
        <x:v>3628.7999999999997</x:v>
      </x:c>
      <x:c r="C12" s="13" t="str">
        <x:v>元</x:v>
      </x:c>
      <x:c r="D12" s="13" t="str">
        <x:v>移峰电量×峰谷价差</x:v>
      </x:c>
    </x:row>
    <x:row r="13">
      <x:c r="A13" s="13" t="str">
        <x:v>改造后年电费</x:v>
      </x:c>
      <x:c r="B13" s="47" t="n">
        <x:f>B9*'参数设置'!B4-B12</x:f>
        <x:v>87932.16</x:v>
      </x:c>
      <x:c r="C13" s="13" t="str">
        <x:v>元</x:v>
      </x:c>
      <x:c r="D13" s="13" t="str">
        <x:v>购电成本−分时电价节省</x:v>
      </x:c>
    </x:row>
    <x:row r="14">
      <x:c r="A14" s="54" t="str">
        <x:v>年节省电费</x:v>
      </x:c>
      <x:c r="B14" s="55" t="n">
        <x:f>'设备输入'!H8-B13</x:f>
        <x:v>57795.84</x:v>
      </x:c>
      <x:c r="C14" s="54" t="str">
        <x:v>元</x:v>
      </x:c>
      <x:c r="D14" s="54" t="str">
        <x:v>基准电费−改造后电费</x:v>
      </x:c>
    </x:row>
    <x:row r="15">
      <x:c r="A15" s="54" t="str">
        <x:v>年减排量</x:v>
      </x:c>
      <x:c r="B15" s="56" t="n">
        <x:f>B10*'参数设置'!B5/1000</x:f>
        <x:v>38.594015999999996</x:v>
      </x:c>
      <x:c r="C15" s="54" t="str">
        <x:v>tCO2e</x:v>
      </x:c>
      <x:c r="D15" s="54" t="str">
        <x:v>购电减少量×排放因子</x:v>
      </x:c>
    </x:row>
    <x:row r="16">
      <x:c r="A16" s="54" t="str">
        <x:v>总投资</x:v>
      </x:c>
      <x:c r="B16" s="57" t="n">
        <x:f>SUM('参数设置'!D9:D12)</x:f>
        <x:v>163000</x:v>
      </x:c>
      <x:c r="C16" s="54" t="str">
        <x:v>元</x:v>
      </x:c>
      <x:c r="D16" s="54" t="str">
        <x:v>四项投资合计</x:v>
      </x:c>
    </x:row>
    <x:row r="17">
      <x:c r="A17" s="54" t="str">
        <x:v>组合回收期</x:v>
      </x:c>
      <x:c r="B17" s="56" t="n">
        <x:f>B16/B14</x:f>
        <x:v>2.8202721856798</x:v>
      </x:c>
      <x:c r="C17" s="54" t="str">
        <x:v>年</x:v>
      </x:c>
      <x:c r="D17" s="54" t="str">
        <x:v>总投资÷年节省电费</x:v>
      </x:c>
    </x:row>
    <x:row r="18">
      <x:c r="A18" s="54" t="str">
        <x:v>10年净收益</x:v>
      </x:c>
      <x:c r="B18" s="55" t="n">
        <x:f>B14*'参数设置'!B6-B16</x:f>
        <x:v>414958.3999999999</x:v>
      </x:c>
      <x:c r="C18" s="54" t="str">
        <x:v>元</x:v>
      </x:c>
      <x:c r="D18" s="54" t="str">
        <x:v>评价期累计节省−总投资</x:v>
      </x:c>
    </x:row>
    <x:row r="19">
      <x:c r="A19" s="54" t="str">
        <x:v>购电量降幅</x:v>
      </x:c>
      <x:c r="B19" s="58" t="n">
        <x:f>B10/B4</x:f>
        <x:v>0.371699604743083</x:v>
      </x:c>
      <x:c r="C19" s="54" t="str">
        <x:v>%</x:v>
      </x:c>
      <x:c r="D19" s="54" t="str">
        <x:v>购电减少量÷基准购电</x:v>
      </x:c>
    </x:row>
    <x:row r="20">
      <x:c r="A20" s="54" t="str">
        <x:v>电费降幅</x:v>
      </x:c>
      <x:c r="B20" s="58" t="n">
        <x:f>B14/'设备输入'!H8</x:f>
        <x:v>0.39660079051383396</x:v>
      </x:c>
      <x:c r="C20" s="54" t="str">
        <x:v>%</x:v>
      </x:c>
      <x:c r="D20" s="54" t="str">
        <x:v>年节省电费÷基准电费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4" customHeight="1">
      <x:c r="A1" s="3" t="str">
        <x:v>敏感性分析｜电价与排放因子变化</x:v>
      </x:c>
      <x:c r="B1" s="3" t="str">
        <x:v>敏感性分析｜电价与排放因子变化</x:v>
      </x:c>
      <x:c r="C1" s="3" t="str">
        <x:v>敏感性分析｜电价与排放因子变化</x:v>
      </x:c>
      <x:c r="D1" s="3" t="str">
        <x:v>敏感性分析｜电价与排放因子变化</x:v>
      </x:c>
      <x:c r="E1" s="3" t="str">
        <x:v>敏感性分析｜电价与排放因子变化</x:v>
      </x:c>
    </x:row>
    <x:row r="3">
      <x:c r="A3" s="8" t="str">
        <x:v>平均电价(元/kWh)</x:v>
      </x:c>
      <x:c r="B3" s="8" t="str">
        <x:v>LED回收期(年)</x:v>
      </x:c>
      <x:c r="C3" s="8" t="str">
        <x:v>空调回收期(年)</x:v>
      </x:c>
      <x:c r="D3" s="8" t="str">
        <x:v>光伏回收期(年)</x:v>
      </x:c>
      <x:c r="E3" s="8" t="str">
        <x:v>组合回收期(年)</x:v>
      </x:c>
    </x:row>
    <x:row r="4">
      <x:c r="A4" s="16" t="n">
        <x:v>0.65</x:v>
      </x:c>
      <x:c r="B4" s="59" t="n">
        <x:f>'参数设置'!D9/('方案测算'!C4*A4)</x:f>
        <x:v>1.3354700854700854</x:v>
      </x:c>
      <x:c r="C4" s="59" t="n">
        <x:f>'参数设置'!D10/('方案测算'!C5*A4)</x:f>
        <x:v>1.6958350291683624</x:v>
      </x:c>
      <x:c r="D4" s="59" t="n">
        <x:f>'参数设置'!D12/('方案测算'!C7*A4)</x:f>
        <x:v>5.067396371744198</x:v>
      </x:c>
      <x:c r="E4" s="59" t="n">
        <x:f>'组合方案'!B16/(('组合方案'!B5+'组合方案'!B6+'组合方案'!B8)*A4+'组合方案'!B12)</x:f>
        <x:v>3.4215290162453353</x:v>
      </x:c>
    </x:row>
    <x:row r="5">
      <x:c r="A5" s="17" t="n">
        <x:v>0.8</x:v>
      </x:c>
      <x:c r="B5" s="51" t="n">
        <x:f>'参数设置'!D9/('方案测算'!C4*A5)</x:f>
        <x:v>1.0850694444444444</x:v>
      </x:c>
      <x:c r="C5" s="51" t="n">
        <x:f>'参数设置'!D10/('方案测算'!C5*A5)</x:f>
        <x:v>1.3778659611992945</x:v>
      </x:c>
      <x:c r="D5" s="51" t="n">
        <x:f>'参数设置'!D12/('方案测算'!C7*A5)</x:f>
        <x:v>4.11725955204216</x:v>
      </x:c>
      <x:c r="E5" s="51" t="n">
        <x:f>'组合方案'!B16/(('组合方案'!B5+'组合方案'!B6+'组合方案'!B8)*A5+'组合方案'!B12)</x:f>
        <x:v>2.820272185679799</x:v>
      </x:c>
    </x:row>
    <x:row r="6">
      <x:c r="A6" s="17" t="n">
        <x:v>0.95</x:v>
      </x:c>
      <x:c r="B6" s="51" t="n">
        <x:f>'参数设置'!D9/('方案测算'!C4*A6)</x:f>
        <x:v>0.9137426900584795</x:v>
      </x:c>
      <x:c r="C6" s="51" t="n">
        <x:f>'参数设置'!D10/('方案测算'!C5*A6)</x:f>
        <x:v>1.1603081778520377</x:v>
      </x:c>
      <x:c r="D6" s="51" t="n">
        <x:f>'参数设置'!D12/('方案测算'!C7*A6)</x:f>
        <x:v>3.4671659385618194</x:v>
      </x:c>
      <x:c r="E6" s="51" t="n">
        <x:f>'组合方案'!B16/(('组合方案'!B5+'组合方案'!B6+'组合方案'!B8)*A6+'组合方案'!B12)</x:f>
        <x:v>2.3987464121817466</x:v>
      </x:c>
    </x:row>
    <x:row r="9">
      <x:c r="A9" s="8" t="str">
        <x:v>排放因子(kgCO2e/kWh)</x:v>
      </x:c>
      <x:c r="B9" s="8" t="str">
        <x:v>组合年减排(tCO2e)</x:v>
      </x:c>
    </x:row>
    <x:row r="10">
      <x:c r="A10" s="16" t="n">
        <x:v>0.45</x:v>
      </x:c>
      <x:c r="B10" s="59" t="n">
        <x:f>'组合方案'!B10*A10/1000</x:f>
        <x:v>30.468960000000003</x:v>
      </x:c>
    </x:row>
    <x:row r="11">
      <x:c r="A11" s="17" t="n">
        <x:v>0.57</x:v>
      </x:c>
      <x:c r="B11" s="51" t="n">
        <x:f>'组合方案'!B10*A11/1000</x:f>
        <x:v>38.594015999999996</x:v>
      </x:c>
    </x:row>
    <x:row r="12">
      <x:c r="A12" s="17" t="n">
        <x:v>0.68</x:v>
      </x:c>
      <x:c r="B12" s="51" t="n">
        <x:f>'组合方案'!B10*A12/1000</x:f>
        <x:v>46.04198400000001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</x:cols>
  <x:sheetData>
    <x:row r="1" ht="34" customHeight="1">
      <x:c r="A1" s="3" t="str">
        <x:v>模型检查</x:v>
      </x:c>
      <x:c r="B1" s="3" t="str">
        <x:v>模型检查</x:v>
      </x:c>
      <x:c r="C1" s="3" t="str">
        <x:v>模型检查</x:v>
      </x:c>
      <x:c r="D1" s="3" t="str">
        <x:v>模型检查</x:v>
      </x:c>
      <x:c r="E1" s="3" t="str">
        <x:v>模型检查</x:v>
      </x:c>
      <x:c r="F1" s="3" t="str">
        <x:v>模型检查</x:v>
      </x:c>
    </x:row>
    <x:row r="3">
      <x:c r="A3" s="8" t="str">
        <x:v>检查项</x:v>
      </x:c>
      <x:c r="B3" s="8" t="str">
        <x:v>实际值</x:v>
      </x:c>
      <x:c r="C3" s="8" t="str">
        <x:v>期望值</x:v>
      </x:c>
      <x:c r="D3" s="8" t="str">
        <x:v>差异</x:v>
      </x:c>
      <x:c r="E3" s="8" t="str">
        <x:v>状态</x:v>
      </x:c>
      <x:c r="F3" s="8" t="str">
        <x:v>说明</x:v>
      </x:c>
    </x:row>
    <x:row r="4">
      <x:c r="A4" s="12" t="str">
        <x:v>设备总量等于分项合计</x:v>
      </x:c>
      <x:c r="B4" s="46" t="n">
        <x:f>'设备输入'!G8</x:f>
        <x:v>182160</x:v>
      </x:c>
      <x:c r="C4" s="46" t="n">
        <x:f>SUM('设备输入'!G4:G7)</x:f>
        <x:v>182160</x:v>
      </x:c>
      <x:c r="D4" s="46" t="n">
        <x:f>B4-C4</x:f>
        <x:v>0</x:v>
      </x:c>
      <x:c r="E4" s="40" t="str">
        <x:f>IF(ABS(D4)&lt;0.01,"OK","FAIL")</x:f>
        <x:v>OK</x:v>
      </x:c>
      <x:c r="F4" s="12" t="str">
        <x:v>分项汇总应完全勾稽</x:v>
      </x:c>
    </x:row>
    <x:row r="5">
      <x:c r="A5" s="13" t="str">
        <x:v>组合购电量非负</x:v>
      </x:c>
      <x:c r="B5" s="47" t="n">
        <x:f>'组合方案'!B9</x:f>
        <x:v>114451.2</x:v>
      </x:c>
      <x:c r="C5" s="47" t="n">
        <x:f>0</x:f>
        <x:v>0</x:v>
      </x:c>
      <x:c r="D5" s="47" t="n">
        <x:f>MIN(B5,0)</x:f>
        <x:v>0</x:v>
      </x:c>
      <x:c r="E5" s="41" t="str">
        <x:f>IF(D5=0,"OK","FAIL")</x:f>
        <x:v>OK</x:v>
      </x:c>
      <x:c r="F5" s="13" t="str">
        <x:v>购电量不能小于0</x:v>
      </x:c>
    </x:row>
    <x:row r="6">
      <x:c r="A6" s="13" t="str">
        <x:v>组合节电量不超过基准</x:v>
      </x:c>
      <x:c r="B6" s="47" t="n">
        <x:f>'组合方案'!B10</x:f>
        <x:v>67708.8</x:v>
      </x:c>
      <x:c r="C6" s="47" t="n">
        <x:f>'组合方案'!B4</x:f>
        <x:v>182160</x:v>
      </x:c>
      <x:c r="D6" s="47" t="n">
        <x:f>MAX(B6-C6,0)</x:f>
        <x:v>0</x:v>
      </x:c>
      <x:c r="E6" s="41" t="str">
        <x:f>IF(D6=0,"OK","FAIL")</x:f>
        <x:v>OK</x:v>
      </x:c>
      <x:c r="F6" s="13" t="str">
        <x:v>节电/绿电量不能大于基准</x:v>
      </x:c>
    </x:row>
    <x:row r="7">
      <x:c r="A7" s="13" t="str">
        <x:v>组合结果与方案页一致</x:v>
      </x:c>
      <x:c r="B7" s="47" t="n">
        <x:f>'方案测算'!E8</x:f>
        <x:v>57795.84</x:v>
      </x:c>
      <x:c r="C7" s="47" t="n">
        <x:f>'组合方案'!B14</x:f>
        <x:v>57795.84</x:v>
      </x:c>
      <x:c r="D7" s="47" t="n">
        <x:f>B7-C7</x:f>
        <x:v>0</x:v>
      </x:c>
      <x:c r="E7" s="41" t="str">
        <x:f>IF(ABS(D7)&lt;0.01,"OK","FAIL")</x:f>
        <x:v>OK</x:v>
      </x:c>
      <x:c r="F7" s="13" t="str">
        <x:v>跨表结果应一致</x:v>
      </x:c>
    </x:row>
    <x:row r="8">
      <x:c r="A8" s="13" t="str">
        <x:v>所有单项回收期为正</x:v>
      </x:c>
      <x:c r="B8" s="47" t="n">
        <x:f>MIN('方案测算'!H4:H7)</x:f>
        <x:v>1.0850694444444444</x:v>
      </x:c>
      <x:c r="C8" s="47" t="n">
        <x:f>0</x:f>
        <x:v>0</x:v>
      </x:c>
      <x:c r="D8" s="47" t="n">
        <x:f>MIN(B8,0)</x:f>
        <x:v>0</x:v>
      </x:c>
      <x:c r="E8" s="41" t="str">
        <x:f>IF(D8=0,"OK","FAIL")</x:f>
        <x:v>OK</x:v>
      </x:c>
      <x:c r="F8" s="13" t="str">
        <x:v>成本节省应产生正回收期</x:v>
      </x:c>
    </x:row>
    <x:row r="10">
      <x:c r="A10" s="64" t="str">
        <x:v>模型总状态</x:v>
      </x:c>
      <x:c r="B10" s="65" t="str">
        <x:v>模型总状态</x:v>
      </x:c>
      <x:c r="C10" s="65" t="str">
        <x:v>模型总状态</x:v>
      </x:c>
      <x:c r="D10" s="65" t="str">
        <x:v>模型总状态</x:v>
      </x:c>
      <x:c r="E10" s="65" t="str">
        <x:f>IF(COUNTIF(E4:E8,"FAIL")=0,"OK","CHECK")</x:f>
        <x:v>OK</x:v>
      </x:c>
      <x:c r="F10" s="66"/>
    </x:row>
  </x:sheetData>
  <x:mergeCells>
    <x:mergeCell ref="A1:F1"/>
    <x:mergeCell ref="A10:D10"/>
    <x:mergeCell ref="E10:F10"/>
  </x:mergeCells>
  <x:conditionalFormatting sqref="E4:E8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22" hidden="0" customWidth="1"/>
    <x:col min="5" max="5" width="48" hidden="0" customWidth="1"/>
    <x:col min="6" max="6" width="28" hidden="0" customWidth="1"/>
  </x:cols>
  <x:sheetData>
    <x:row r="1" ht="34" customHeight="1">
      <x:c r="A1" s="3" t="str">
        <x:v>来源与口径说明</x:v>
      </x:c>
      <x:c r="B1" s="3" t="str">
        <x:v>来源与口径说明</x:v>
      </x:c>
      <x:c r="C1" s="3" t="str">
        <x:v>来源与口径说明</x:v>
      </x:c>
      <x:c r="D1" s="3" t="str">
        <x:v>来源与口径说明</x:v>
      </x:c>
      <x:c r="E1" s="3" t="str">
        <x:v>来源与口径说明</x:v>
      </x:c>
      <x:c r="F1" s="3" t="str">
        <x:v>来源与口径说明</x:v>
      </x:c>
    </x:row>
    <x:row r="3">
      <x:c r="A3" s="8" t="str">
        <x:v>编号</x:v>
      </x:c>
      <x:c r="B3" s="8" t="str">
        <x:v>项目</x:v>
      </x:c>
      <x:c r="C3" s="8" t="str">
        <x:v>值/口径</x:v>
      </x:c>
      <x:c r="D3" s="8" t="str">
        <x:v>来源</x:v>
      </x:c>
      <x:c r="E3" s="8" t="str">
        <x:v>链接/文件</x:v>
      </x:c>
      <x:c r="F3" s="8" t="str">
        <x:v>备注</x:v>
      </x:c>
    </x:row>
    <x:row r="4">
      <x:c r="A4" s="67" t="str">
        <x:v>S1</x:v>
      </x:c>
      <x:c r="B4" s="67" t="str">
        <x:v>课题定义</x:v>
      </x:c>
      <x:c r="C4" s="67" t="str">
        <x:v>问题K</x:v>
      </x:c>
      <x:c r="D4" s="67" t="str">
        <x:v>暑期实训任务报告</x:v>
      </x:c>
      <x:c r="E4" s="67" t="str">
        <x:v>微课题.pdf 第13页</x:v>
      </x:c>
      <x:c r="F4" s="67" t="str">
        <x:v>题目原文</x:v>
      </x:c>
    </x:row>
    <x:row r="5">
      <x:c r="A5" s="68" t="str">
        <x:v>S2</x:v>
      </x:c>
      <x:c r="B5" s="68" t="str">
        <x:v>提交格式</x:v>
      </x:c>
      <x:c r="C5" s="68" t="str">
        <x:v>README+PPT</x:v>
      </x:c>
      <x:c r="D5" s="68" t="str">
        <x:v>微课题提交内容和格式</x:v>
      </x:c>
      <x:c r="E5" s="68" t="str">
        <x:v>微课题提交内容和格式.pdf</x:v>
      </x:c>
      <x:c r="F5" s="68" t="str">
        <x:v>通知要求</x:v>
      </x:c>
    </x:row>
    <x:row r="6">
      <x:c r="A6" s="68" t="str">
        <x:v>S3</x:v>
      </x:c>
      <x:c r="B6" s="68" t="str">
        <x:v>设备参数</x:v>
      </x:c>
      <x:c r="C6" s="68" t="str">
        <x:v>模拟设备台账</x:v>
      </x:c>
      <x:c r="D6" s="68" t="str">
        <x:v>项目假设</x:v>
      </x:c>
      <x:c r="E6" s="68" t="str">
        <x:v>data/device_inputs.csv</x:v>
      </x:c>
      <x:c r="F6" s="68" t="str">
        <x:v>需替换为真实盘点</x:v>
      </x:c>
    </x:row>
    <x:row r="7">
      <x:c r="A7" s="68" t="str">
        <x:v>S4</x:v>
      </x:c>
      <x:c r="B7" s="68" t="str">
        <x:v>平均电价</x:v>
      </x:c>
      <x:c r="C7" s="68" t="str">
        <x:v>0.80元/kWh</x:v>
      </x:c>
      <x:c r="D7" s="68" t="str">
        <x:v>项目假设</x:v>
      </x:c>
      <x:c r="E7" s="68" t="str">
        <x:v>data/scenario_inputs.json</x:v>
      </x:c>
      <x:c r="F7" s="68" t="str">
        <x:v>需替换为账单数据</x:v>
      </x:c>
    </x:row>
    <x:row r="8">
      <x:c r="A8" s="68" t="str">
        <x:v>S5</x:v>
      </x:c>
      <x:c r="B8" s="68" t="str">
        <x:v>排放因子</x:v>
      </x:c>
      <x:c r="C8" s="68" t="str">
        <x:v>0.57kgCO2e/kWh</x:v>
      </x:c>
      <x:c r="D8" s="68" t="str">
        <x:v>项目假设</x:v>
      </x:c>
      <x:c r="E8" s="68" t="str">
        <x:v>data/scenario_inputs.json</x:v>
      </x:c>
      <x:c r="F8" s="68" t="str">
        <x:v>按年度和区域更新</x:v>
      </x:c>
    </x:row>
    <x:row r="9">
      <x:c r="A9" s="68" t="str">
        <x:v>S6</x:v>
      </x:c>
      <x:c r="B9" s="68" t="str">
        <x:v>政策资料入口</x:v>
      </x:c>
      <x:c r="C9" s="68" t="str">
        <x:v>碳核算资料查询</x:v>
      </x:c>
      <x:c r="D9" s="68" t="str">
        <x:v>生态环境部</x:v>
      </x:c>
      <x:c r="E9" s="68" t="str">
        <x:v>https://www.mee.gov.cn/</x:v>
      </x:c>
      <x:c r="F9" s="68" t="str">
        <x:v>优先使用正式发布文件</x:v>
      </x:c>
    </x:row>
    <x:row r="10">
      <x:c r="A10" s="68" t="str">
        <x:v>S7</x:v>
      </x:c>
      <x:c r="B10" s="68" t="str">
        <x:v>竞赛方向</x:v>
      </x:c>
      <x:c r="C10" s="68" t="str">
        <x:v>全国大学生能源经济学术创意大赛</x:v>
      </x:c>
      <x:c r="D10" s="68" t="str">
        <x:v>赛事提交系统</x:v>
      </x:c>
      <x:c r="E10" s="68" t="str">
        <x:v>http://energy.qibebt.ac.cn/eneco/contribution/</x:v>
      </x:c>
      <x:c r="F10" s="68" t="str">
        <x:v>按当届规则更新</x:v>
      </x:c>
    </x:row>
  </x:sheetData>
  <x:mergeCells>
    <x:mergeCell ref="A1:F1"/>
  </x:mergeCells>
  <x:pageMargins left="0.7" right="0.7" top="0.75" bottom="0.75" header="0.3" footer="0.3"/>
</x:worksheet>
</file>